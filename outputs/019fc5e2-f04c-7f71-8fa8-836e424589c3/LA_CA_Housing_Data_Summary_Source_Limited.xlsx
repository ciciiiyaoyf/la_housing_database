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aeb1b88e3f403c" /></Relationships>
</file>

<file path=xl/workbook.xml><?xml version="1.0" encoding="utf-8"?>
<x:workbook xmlns:x="http://schemas.openxmlformats.org/spreadsheetml/2006/main">
  <x:sheets>
    <x:sheet xmlns:r="http://schemas.openxmlformats.org/officeDocument/2006/relationships" name="Summary" sheetId="1" r:id="R7409ea84456046bf"/>
    <x:sheet xmlns:r="http://schemas.openxmlformats.org/officeDocument/2006/relationships" name="Variable Inventory" sheetId="2" r:id="Rc54088ba220a42a1"/>
    <x:sheet xmlns:r="http://schemas.openxmlformats.org/officeDocument/2006/relationships" name="Configured IDs" sheetId="3" r:id="R39d1d0c853884edf"/>
    <x:sheet xmlns:r="http://schemas.openxmlformats.org/officeDocument/2006/relationships" name="Source Audit" sheetId="4" r:id="R9ccb12c0cedb4629"/>
    <x:sheet xmlns:r="http://schemas.openxmlformats.org/officeDocument/2006/relationships" name="Coverage &amp; Gaps" sheetId="5" r:id="Rb58f6791b95e4749"/>
    <x:sheet xmlns:r="http://schemas.openxmlformats.org/officeDocument/2006/relationships" name="Source Families" sheetId="6" r:id="R3a7e27970d8b4286"/>
    <x:sheet xmlns:r="http://schemas.openxmlformats.org/officeDocument/2006/relationships" name="Prior Requirements" sheetId="7" r:id="Rac9418e3a95a4b6d"/>
    <x:sheet xmlns:r="http://schemas.openxmlformats.org/officeDocument/2006/relationships" name="QA Checks" sheetId="8" r:id="R16ce354525954ab2"/>
    <x:sheet xmlns:r="http://schemas.openxmlformats.org/officeDocument/2006/relationships" name="Definitions" sheetId="9" r:id="Rcfa4aa103c5a4614"/>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i/>
      <x:sz val="11"/>
      <x:color rgb="FF17324D"/>
      <x:name val="Carlito"/>
    </x:font>
    <x:font>
      <x:sz val="11"/>
      <x:color rgb="FF595959"/>
      <x:name val="Carlito"/>
    </x:font>
    <x:font>
      <x:b/>
      <x:sz val="11"/>
      <x:color rgb="FFFFFFFF"/>
      <x:name val="Carlito"/>
    </x:font>
    <x:font>
      <x:b/>
      <x:sz val="11"/>
      <x:color rgb="FF7F6000"/>
      <x:name val="Carlito"/>
    </x:font>
    <x:font>
      <x:b/>
      <x:sz val="11"/>
      <x:color rgb="FF375623"/>
      <x:name val="Carlito"/>
    </x:font>
    <x:font>
      <x:b/>
      <x:sz val="11"/>
      <x:color rgb="FF9C0006"/>
      <x:name val="Carlito"/>
    </x:font>
    <x:font>
      <x:b/>
      <x:sz val="18"/>
      <x:color rgb="FFFFFFFF"/>
      <x:name val="Carlito"/>
    </x:font>
    <x:font>
      <x:b/>
      <x:sz val="11"/>
      <x:color rgb="FF17324D"/>
      <x:name val="Carlito"/>
    </x:font>
    <x:font>
      <x:b/>
      <x:sz val="11"/>
      <x:name val="Carlito"/>
    </x:font>
  </x:fonts>
  <x:fills count="10">
    <x:fill>
      <x:patternFill patternType="none"/>
    </x:fill>
    <x:fill>
      <x:patternFill patternType="gray125"/>
    </x:fill>
    <x:fill>
      <x:patternFill patternType="solid">
        <x:fgColor rgb="FF17324D"/>
      </x:patternFill>
    </x:fill>
    <x:fill>
      <x:patternFill patternType="solid">
        <x:fgColor rgb="FFD9EAF7"/>
      </x:patternFill>
    </x:fill>
    <x:fill>
      <x:patternFill patternType="solid">
        <x:fgColor rgb="FFEDF4FA"/>
      </x:patternFill>
    </x:fill>
    <x:fill>
      <x:patternFill patternType="solid">
        <x:fgColor rgb="FF2F75B5"/>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1" xfId="0" applyNumberFormat="1" applyFont="1" applyFill="1" applyBorder="1" applyAlignment="1">
      <x:alignment horizontal="center" vertical="top" wrapText="1"/>
    </x:xf>
    <x:xf numFmtId="0" fontId="5" fillId="7" borderId="1" xfId="0" applyNumberFormat="1" applyFont="1" applyFill="1" applyBorder="1" applyAlignment="1">
      <x:alignment horizontal="center" vertical="center" wrapText="1"/>
    </x:xf>
    <x:xf numFmtId="0" fontId="0"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8" borderId="1" xfId="0" applyNumberFormat="1" applyFont="1" applyFill="1" applyBorder="1" applyAlignment="1">
      <x:alignment horizontal="center" vertical="top" wrapText="1"/>
    </x:xf>
    <x:xf numFmtId="0" fontId="6" fillId="8" borderId="1" xfId="0" applyNumberFormat="1" applyFont="1" applyFill="1" applyBorder="1" applyAlignment="1">
      <x:alignment horizontal="center" vertical="center" wrapText="1"/>
    </x:xf>
    <x:xf numFmtId="0" fontId="0" fillId="9"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7" fillId="9" borderId="1" xfId="0" applyNumberFormat="1" applyFont="1" applyFill="1" applyBorder="1" applyAlignment="1">
      <x:alignment horizontal="center" vertical="top" wrapText="1"/>
    </x:xf>
    <x:xf numFmtId="0" fontId="7" fillId="9" borderId="1" xfId="0" applyNumberFormat="1" applyFont="1" applyFill="1" applyBorder="1" applyAlignment="1">
      <x:alignment horizontal="center" vertical="center"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9" fillId="0" borderId="1"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horizontal="center"/>
    </x:xf>
    <x:xf numFmtId="0" fontId="10" fillId="8" borderId="1" xfId="0" applyNumberFormat="1" applyFont="1" applyFill="1" applyBorder="1" applyAlignment="1">
      <x:alignment horizontal="center"/>
    </x:xf>
    <x:xf numFmtId="0" fontId="10" fillId="7" borderId="1" xfId="0" applyNumberFormat="1" applyFont="1" applyFill="1" applyBorder="1" applyAlignment="1">
      <x:alignment horizontal="center"/>
    </x:xf>
    <x:xf numFmtId="0" fontId="10" fillId="9" borderId="1" xfId="0" applyNumberFormat="1" applyFont="1" applyFill="1" applyBorder="1" applyAlignment="1">
      <x:alignment horizontal="center"/>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6" borderId="0"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9"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48cd63ea8e4636" /><Relationship Type="http://schemas.openxmlformats.org/officeDocument/2006/relationships/theme" Target="/xl/theme/theme1.xml" Id="R933aef9e8d444328" /><Relationship Type="http://schemas.openxmlformats.org/officeDocument/2006/relationships/sharedStrings" Target="/xl/sharedStrings.xml" Id="Rbe5571457a8743a6" /><Relationship Type="http://schemas.openxmlformats.org/officeDocument/2006/relationships/worksheet" Target="/xl/worksheets/sheet1.xml" Id="R7409ea84456046bf" /><Relationship Type="http://schemas.openxmlformats.org/officeDocument/2006/relationships/worksheet" Target="/xl/worksheets/sheet2.xml" Id="Rc54088ba220a42a1" /><Relationship Type="http://schemas.openxmlformats.org/officeDocument/2006/relationships/worksheet" Target="/xl/worksheets/sheet3.xml" Id="R39d1d0c853884edf" /><Relationship Type="http://schemas.openxmlformats.org/officeDocument/2006/relationships/worksheet" Target="/xl/worksheets/sheet4.xml" Id="R9ccb12c0cedb4629" /><Relationship Type="http://schemas.openxmlformats.org/officeDocument/2006/relationships/worksheet" Target="/xl/worksheets/sheet5.xml" Id="Rb58f6791b95e4749" /><Relationship Type="http://schemas.openxmlformats.org/officeDocument/2006/relationships/worksheet" Target="/xl/worksheets/sheet6.xml" Id="R3a7e27970d8b4286" /><Relationship Type="http://schemas.openxmlformats.org/officeDocument/2006/relationships/worksheet" Target="/xl/worksheets/sheet7.xml" Id="Rac9418e3a95a4b6d" /><Relationship Type="http://schemas.openxmlformats.org/officeDocument/2006/relationships/worksheet" Target="/xl/worksheets/sheet8.xml" Id="R16ce354525954ab2" /><Relationship Type="http://schemas.openxmlformats.org/officeDocument/2006/relationships/worksheet" Target="/xl/worksheets/sheet9.xml" Id="Rcfa4aa103c5a4614" /></Relationships>
</file>

<file path=xl/theme/theme1.xml><?xml version="1.0" encoding="utf-8"?>
<a:theme xmlns:a="http://schemas.openxmlformats.org/drawingml/2006/main" name="Housing Database">
  <a:themeElements>
    <a:clrScheme name="Housing Databas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Housing Databas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1" hidden="0" customWidth="1"/>
    <x:col min="3" max="3" width="24" hidden="0" customWidth="1"/>
    <x:col min="4" max="4" width="31" hidden="0" customWidth="1"/>
    <x:col min="5" max="5" width="31" hidden="0" customWidth="1"/>
    <x:col min="6" max="6" width="31" hidden="0" customWidth="1"/>
    <x:col min="7" max="7" width="31" hidden="0" customWidth="1"/>
    <x:col min="8" max="8" width="32" hidden="0" customWidth="1"/>
  </x:cols>
  <x:sheetData>
    <x:row r="1" ht="34" customHeight="1">
      <x:c r="A1" s="37" t="str">
        <x:v>LA &amp; California Housing Variable and Source Audit</x:v>
      </x:c>
      <x:c r="B1" s="37"/>
      <x:c r="C1" s="37"/>
      <x:c r="D1" s="37"/>
      <x:c r="E1" s="37"/>
      <x:c r="F1" s="37"/>
      <x:c r="G1" s="37"/>
      <x:c r="H1" s="37"/>
    </x:row>
    <x:row r="2" ht="30" customHeight="1">
      <x:c r="A2" s="38" t="str">
        <x:v>Status as of 2026-08-07 | Current output inventory | Latest-document source authorization | Earlier/unlisted uses labeled</x:v>
      </x:c>
      <x:c r="B2" s="38"/>
      <x:c r="C2" s="38"/>
      <x:c r="D2" s="38"/>
      <x:c r="E2" s="38"/>
      <x:c r="F2" s="38"/>
      <x:c r="G2" s="38"/>
      <x:c r="H2" s="38"/>
    </x:row>
    <x:row r="4" ht="26" customHeight="1">
      <x:c r="A4" s="13" t="str">
        <x:v>Portfolio status</x:v>
      </x:c>
      <x:c r="B4" s="13"/>
      <x:c r="D4" s="13" t="str">
        <x:v>Governing decisions</x:v>
      </x:c>
      <x:c r="E4" s="13"/>
      <x:c r="F4" s="13"/>
      <x:c r="G4" s="13"/>
      <x:c r="H4" s="13"/>
    </x:row>
    <x:row r="5" ht="35" customHeight="1">
      <x:c r="A5" s="39" t="str">
        <x:v>Canonical variable groups</x:v>
      </x:c>
      <x:c r="B5" s="41" t="n">
        <x:f>COUNTA('Variable Inventory'!C5:C56)</x:f>
        <x:v>52</x:v>
      </x:c>
      <x:c r="D5" s="47" t="str">
        <x:v>Current output availability and latest-document source authorization are separate judgments; the Source Audit sheet reports both for every configured ID.</x:v>
      </x:c>
      <x:c r="E5" s="47"/>
      <x:c r="F5" s="47"/>
      <x:c r="G5" s="47"/>
      <x:c r="H5" s="47"/>
    </x:row>
    <x:row r="6" ht="35" customHeight="1">
      <x:c r="A6" s="39" t="str">
        <x:v>Have</x:v>
      </x:c>
      <x:c r="B6" s="42" t="n">
        <x:f>COUNTIF('Variable Inventory'!F5:F56,"Have")</x:f>
        <x:v>37</x:v>
      </x:c>
      <x:c r="D6" s="51" t="str">
        <x:v>True monthly rental-listing inventory remains Do not have: the governing methodology names no approved source.</x:v>
      </x:c>
      <x:c r="E6" s="51"/>
      <x:c r="F6" s="51"/>
      <x:c r="G6" s="51"/>
      <x:c r="H6" s="51"/>
    </x:row>
    <x:row r="7" ht="35" customHeight="1">
      <x:c r="A7" s="39" t="str">
        <x:v>Partial</x:v>
      </x:c>
      <x:c r="B7" s="43" t="n">
        <x:f>COUNTIF('Variable Inventory'!F5:F56,"Partial")</x:f>
        <x:v>7</x:v>
      </x:c>
      <x:c r="D7" s="47" t="str">
        <x:v>ACS annual rental availability and HUD-USPS quarterly residential vacancy are available only as separate proxies.</x:v>
      </x:c>
      <x:c r="E7" s="47"/>
      <x:c r="F7" s="47"/>
      <x:c r="G7" s="47"/>
      <x:c r="H7" s="47"/>
    </x:row>
    <x:row r="8" ht="35" customHeight="1">
      <x:c r="A8" s="39" t="str">
        <x:v>Do not have</x:v>
      </x:c>
      <x:c r="B8" s="44" t="n">
        <x:f>COUNTIF('Variable Inventory'!F5:F56,"Do not have")</x:f>
        <x:v>8</x:v>
      </x:c>
      <x:c r="D8" s="51" t="str">
        <x:v>Canonical price-to-rent uses Zillow ZHVI/ZORI; the older FHFA/ZORI wording is superseded for the primary series.</x:v>
      </x:c>
      <x:c r="E8" s="51"/>
      <x:c r="F8" s="51"/>
      <x:c r="G8" s="51"/>
      <x:c r="H8" s="51"/>
    </x:row>
    <x:row r="9" ht="35" customHeight="1">
      <x:c r="A9" s="39" t="str">
        <x:v>Configured variable IDs</x:v>
      </x:c>
      <x:c r="B9" s="41" t="n">
        <x:f>COUNTA('Configured IDs'!C5:C255)</x:f>
        <x:v>251</x:v>
      </x:c>
      <x:c r="D9" s="47" t="str">
        <x:v>California DOI premium/exposure history, annual YoY, and flagged monthly step control are implemented; only the real-dollar deflator choice remains.</x:v>
      </x:c>
      <x:c r="E9" s="47"/>
      <x:c r="F9" s="47"/>
      <x:c r="G9" s="47"/>
      <x:c r="H9" s="47"/>
    </x:row>
    <x:row r="10" ht="35" customHeight="1">
      <x:c r="A10" s="39" t="str">
        <x:v>IDs with non-null output</x:v>
      </x:c>
      <x:c r="B10" s="42" t="n">
        <x:f>COUNTIF('Configured IDs'!F5:F255,"Have")</x:f>
        <x:v>239</x:v>
      </x:c>
      <x:c r="D10" s="51" t="str">
        <x:v>BPS 1-unit data include monthly and separate final-annual observations; they are permits/authorizations, never starts or completions.</x:v>
      </x:c>
      <x:c r="E10" s="51"/>
      <x:c r="F10" s="51"/>
      <x:c r="G10" s="51"/>
      <x:c r="H10" s="51"/>
    </x:row>
    <x:row r="11" ht="35" customHeight="1">
      <x:c r="A11" s="39" t="str">
        <x:v>Schema-only IDs</x:v>
      </x:c>
      <x:c r="B11" s="44" t="n">
        <x:f>COUNTIF('Configured IDs'!F5:F255,"Schema only")</x:f>
        <x:v>12</x:v>
      </x:c>
      <x:c r="D11" s="47" t="str">
        <x:v>All 28 official 2025 HMDA IDs physically exist, but HMDA is absent from the latest document; these fields are repository-only and not latest-document compliant.</x:v>
      </x:c>
      <x:c r="E11" s="47"/>
      <x:c r="F11" s="47"/>
      <x:c r="G11" s="47"/>
      <x:c r="H11" s="47"/>
    </x:row>
    <x:row r="12" ht="35" customHeight="1">
      <x:c r="A12" s="39" t="str">
        <x:v>IDs not listed in latest document</x:v>
      </x:c>
      <x:c r="B12" s="41" t="n">
        <x:f>COUNTIF('Source Audit'!I5:I255,"No")</x:f>
        <x:v>187</x:v>
      </x:c>
      <x:c r="D12" s="51" t="str">
        <x:v>Raw PMMS 20/25/30-year debt and matching equity scenarios are complete; calibrated finance targets remain blocked by the California UPB universe mismatch.</x:v>
      </x:c>
      <x:c r="E12" s="51"/>
      <x:c r="F12" s="51"/>
      <x:c r="G12" s="51"/>
      <x:c r="H12" s="51"/>
    </x:row>
    <x:row r="13" ht="35" customHeight="1">
      <x:c r="D13" s="47" t="str">
        <x:v>HUD PIT is available annually through 2025; its four-CoC project composite is never relabeled as Los Angeles County or high-frequency data.</x:v>
      </x:c>
      <x:c r="E13" s="47"/>
      <x:c r="F13" s="47"/>
      <x:c r="G13" s="47"/>
      <x:c r="H13" s="47"/>
    </x:row>
    <x:row r="14" ht="26" customHeight="1">
      <x:c r="A14" s="13" t="str">
        <x:v>Highest-priority unresolved steps</x:v>
      </x:c>
      <x:c r="B14" s="13"/>
      <x:c r="C14" s="13"/>
      <x:c r="D14" s="13"/>
      <x:c r="E14" s="13"/>
      <x:c r="F14" s="13"/>
      <x:c r="G14" s="13"/>
      <x:c r="H14" s="13"/>
    </x:row>
    <x:row r="15" ht="36" customHeight="1">
      <x:c r="A15" s="55" t="str">
        <x:v>Priority</x:v>
      </x:c>
      <x:c r="B15" s="55" t="str">
        <x:v>Variable</x:v>
      </x:c>
      <x:c r="C15" s="55" t="str">
        <x:v>Availability</x:v>
      </x:c>
      <x:c r="D15" s="55" t="str">
        <x:v>Blocker stage</x:v>
      </x:c>
      <x:c r="E15" s="55" t="str">
        <x:v>Exact next step</x:v>
      </x:c>
      <x:c r="F15" s="55" t="str">
        <x:v>Why it cannot proceed</x:v>
      </x:c>
      <x:c r="G15" s="55" t="str">
        <x:v>Allowed source boundary</x:v>
      </x:c>
      <x:c r="H15" s="55" t="str">
        <x:v>Owner decision needed</x:v>
      </x:c>
    </x:row>
    <x:row r="16" ht="62" customHeight="1">
      <x:c r="A16" s="20" t="n">
        <x:v>1</x:v>
      </x:c>
      <x:c r="B16" s="20" t="str">
        <x:v>True monthly rental-listing inventory</x:v>
      </x:c>
      <x:c r="C16" s="33" t="str">
        <x:v>Do not have</x:v>
      </x:c>
      <x:c r="D16" s="20" t="str">
        <x:v>Source identification</x:v>
      </x:c>
      <x:c r="E16" s="20" t="str">
        <x:v>Revise the methodology to name an approved qualifying source, or leave missing.</x:v>
      </x:c>
      <x:c r="F16" s="20" t="str">
        <x:v>No approved source is named.</x:v>
      </x:c>
      <x:c r="G16" s="20" t="str">
        <x:v>No substitution by vacancy or rent-index data.</x:v>
      </x:c>
      <x:c r="H16" s="20" t="str">
        <x:v>Whether the methodology will be revised</x:v>
      </x:c>
    </x:row>
    <x:row r="17" ht="62" customHeight="1">
      <x:c r="A17" s="20" t="n">
        <x:v>2</x:v>
      </x:c>
      <x:c r="B17" s="20" t="str">
        <x:v>Quarterly occupied-unit change and price-to-income</x:v>
      </x:c>
      <x:c r="C17" s="25" t="str">
        <x:v>Partial</x:v>
      </x:c>
      <x:c r="D17" s="20" t="str">
        <x:v>Frequency / geography methodology</x:v>
      </x:c>
      <x:c r="E17" s="20" t="str">
        <x:v>Approve an explicit quarterly timing or mixed-frequency method, or retain the completed annual controls as annual only.</x:v>
      </x:c>
      <x:c r="F17" s="20" t="str">
        <x:v>The official ACS histories are complete, but overlapping five-year estimates are not observed quarterly flows.</x:v>
      </x:c>
      <x:c r="G17" s="20" t="str">
        <x:v>Official Census ACS inputs only.</x:v>
      </x:c>
      <x:c r="H17" s="20" t="str">
        <x:v>Whether and how to model quarterly timing</x:v>
      </x:c>
    </x:row>
    <x:row r="18" ht="62" customHeight="1">
      <x:c r="A18" s="20" t="n">
        <x:v>3</x:v>
      </x:c>
      <x:c r="B18" s="20" t="str">
        <x:v>Calibrated equity and debt</x:v>
      </x:c>
      <x:c r="C18" s="25" t="str">
        <x:v>Partial</x:v>
      </x:c>
      <x:c r="D18" s="20" t="str">
        <x:v>Universe compatibility / method</x:v>
      </x:c>
      <x:c r="E18" s="20" t="str">
        <x:v>Obtain an exact-date California owner-occupied closed-end first-lien UPB control or approve a documented compatible-universe calibration rule.</x:v>
      </x:c>
      <x:c r="F18" s="20" t="str">
        <x:v>The acquired official TOT_UPB file covers all active mortgages; raw 20/25/30-year debt/equity scenarios are already complete.</x:v>
      </x:c>
      <x:c r="G18" s="20" t="str">
        <x:v>Version A listed FHFA NMDB inputs only.</x:v>
      </x:c>
      <x:c r="H18" s="20" t="str">
        <x:v>Compatible control/universe rule</x:v>
      </x:c>
    </x:row>
    <x:row r="19" ht="62" customHeight="1">
      <x:c r="A19" s="20" t="n">
        <x:v>4</x:v>
      </x:c>
      <x:c r="B19" s="20" t="str">
        <x:v>Noncontrolled rent growth</x:v>
      </x:c>
      <x:c r="C19" s="33" t="str">
        <x:v>Do not have</x:v>
      </x:c>
      <x:c r="D19" s="20" t="str">
        <x:v>Policy/exposure crosswalk</x:v>
      </x:c>
      <x:c r="E19" s="20" t="str">
        <x:v>Approve the exact parcel/building source within the named category, then build the dated policy exposure layer.</x:v>
      </x:c>
      <x:c r="F19" s="20" t="str">
        <x:v>The exposure share is absent and the methodology does not identify an exact parcel/building provider.</x:v>
      </x:c>
      <x:c r="G19" s="20" t="str">
        <x:v>Only named structural/policy input categories.</x:v>
      </x:c>
      <x:c r="H19" s="20" t="str">
        <x:v>Exact provider within the named category</x:v>
      </x:c>
    </x:row>
    <x:row r="20" ht="62" customHeight="1">
      <x:c r="A20" s="20" t="n">
        <x:v>5</x:v>
      </x:c>
      <x:c r="B20" s="20" t="str">
        <x:v>Real-dollar insurance control</x:v>
      </x:c>
      <x:c r="C20" s="25" t="str">
        <x:v>Partial</x:v>
      </x:c>
      <x:c r="D20" s="20" t="str">
        <x:v>Deflator method decision</x:v>
      </x:c>
      <x:c r="E20" s="20" t="str">
        <x:v>Select the already-listed CPI-U series and reference year.</x:v>
      </x:c>
      <x:c r="F20" s="20" t="str">
        <x:v>The nominal DOI base, annual YoY, and 192-row flagged monthly step control are complete; only the real-dollar convention is unspecified.</x:v>
      </x:c>
      <x:c r="G20" s="20" t="str">
        <x:v>CA DOI plus the already-listed CPI-U source.</x:v>
      </x:c>
      <x:c r="H20" s="20" t="str">
        <x:v>Deflator series and reference year</x:v>
      </x:c>
    </x:row>
    <x:row r="21" ht="62" customHeight="1">
      <x:c r="A21" s="20" t="n">
        <x:v>6</x:v>
      </x:c>
      <x:c r="B21" s="20" t="str">
        <x:v>Lagged construction and denominator proxies</x:v>
      </x:c>
      <x:c r="C21" s="33" t="str">
        <x:v>Do not have</x:v>
      </x:c>
      <x:c r="D21" s="20" t="str">
        <x:v>Formula/source decision</x:v>
      </x:c>
      <x:c r="E21" s="20" t="str">
        <x:v>Approve the named lag/window rules and exact methodology-compatible denominator or classifier where required.</x:v>
      </x:c>
      <x:c r="F21" s="20" t="str">
        <x:v>The BPS inputs exist, but completions, stock denominators, and the rental-growth classifier are not specified.</x:v>
      </x:c>
      <x:c r="G21" s="20" t="str">
        <x:v>Existing listed inputs and named input categories only.</x:v>
      </x:c>
      <x:c r="H21" s="20" t="str">
        <x:v>Lag/window/denominator/classifier choices</x:v>
      </x:c>
    </x:row>
    <x:row r="23" ht="26" customHeight="1">
      <x:c r="A23" s="13" t="str">
        <x:v>Workbook guide</x:v>
      </x:c>
      <x:c r="B23" s="13"/>
      <x:c r="C23" s="13"/>
      <x:c r="D23" s="13"/>
      <x:c r="E23" s="13"/>
      <x:c r="F23" s="13"/>
      <x:c r="G23" s="13"/>
      <x:c r="H23" s="13"/>
    </x:row>
    <x:row r="24" ht="48" customHeight="1">
      <x:c r="A24" s="56" t="str">
        <x:v>Variable Inventory</x:v>
      </x:c>
      <x:c r="B24" s="20" t="str">
        <x:v>Authoritative group-level Have / Partial / Do not have answer</x:v>
      </x:c>
      <x:c r="C24" s="56" t="str">
        <x:v>Coverage &amp; Gaps</x:v>
      </x:c>
      <x:c r="D24" s="20" t="str">
        <x:v>Exact coverage, missingness, blocker, and next allowed action</x:v>
      </x:c>
      <x:c r="E24" s="56" t="str">
        <x:v>Configured IDs</x:v>
      </x:c>
      <x:c r="F24" s="20" t="str">
        <x:v>All 251 IDs with output status</x:v>
      </x:c>
      <x:c r="G24" s="56" t="str">
        <x:v>Source Audit</x:v>
      </x:c>
      <x:c r="H24" s="20" t="str">
        <x:v>Every ID's implemented source and latest-document relationship</x:v>
      </x:c>
    </x:row>
    <x:row r="25" ht="48" customHeight="1">
      <x:c r="A25" s="56" t="str">
        <x:v>Prior Requirements</x:v>
      </x:c>
      <x:c r="B25" s="20" t="str">
        <x:v>Crosswalk to all 38 earlier requested concepts</x:v>
      </x:c>
      <x:c r="C25" s="56" t="str">
        <x:v>QA Checks</x:v>
      </x:c>
      <x:c r="D25" s="20" t="str">
        <x:v>Formula-driven integrity controls</x:v>
      </x:c>
      <x:c r="E25" s="56" t="str">
        <x:v>Definitions</x:v>
      </x:c>
      <x:c r="F25" s="20" t="str">
        <x:v>Status/source/geography/frequency rules</x:v>
      </x:c>
      <x:c r="G25" s="56" t="str">
        <x:v>Status date</x:v>
      </x:c>
      <x:c r="H25" s="20" t="str">
        <x:v>2026-08-07</x:v>
      </x:c>
    </x:row>
    <x:row r="26" ht="48" customHeight="1">
      <x:c r="A26" s="56" t="str">
        <x:v>Important</x:v>
      </x:c>
      <x:c r="B26" s="20" t="str">
        <x:v>A proxy never counts as the target.</x:v>
      </x:c>
      <x:c r="C26" s="56" t="str">
        <x:v>Important</x:v>
      </x:c>
      <x:c r="D26" s="20" t="str">
        <x:v>Annual/quarterly observations never become observed monthly data.</x:v>
      </x:c>
      <x:c r="E26" s="56" t="str">
        <x:v>Important</x:v>
      </x:c>
      <x:c r="F26" s="20" t="str">
        <x:v>Postal ZIP and Census ZCTA remain distinct.</x:v>
      </x:c>
      <x:c r="G26" s="56" t="str">
        <x:v>Important</x:v>
      </x:c>
      <x:c r="H26" s="20" t="str">
        <x:v>Provider nulls remain null.</x:v>
      </x:c>
    </x:row>
    <x:row r="27" ht="48" customHeight="1">
      <x:c r="A27" s="56" t="str">
        <x:v>Latest standard</x:v>
      </x:c>
      <x:c r="B27" s="20" t="str">
        <x:v>Controls conflicts with the prior tracker.</x:v>
      </x:c>
      <x:c r="C27" s="56" t="str">
        <x:v>Source rule</x:v>
      </x:c>
      <x:c r="D27" s="20" t="str">
        <x:v>No source may be added unless it is listed for that construction.</x:v>
      </x:c>
      <x:c r="E27" s="56" t="str">
        <x:v>Source Families</x:v>
      </x:c>
      <x:c r="F27" s="20" t="str">
        <x:v>Variable-specific roles and exact links</x:v>
      </x:c>
      <x:c r="G27" s="56" t="str">
        <x:v>Prior scope</x:v>
      </x:c>
      <x:c r="H27" s="20" t="str">
        <x:v>38 requirements</x:v>
      </x:c>
    </x:row>
  </x:sheetData>
  <x:mergeCells>
    <x:mergeCell ref="A1:H1"/>
    <x:mergeCell ref="A2:H2"/>
    <x:mergeCell ref="A4:B4"/>
    <x:mergeCell ref="D4:H4"/>
    <x:mergeCell ref="D5:H5"/>
    <x:mergeCell ref="D6:H6"/>
    <x:mergeCell ref="D7:H7"/>
    <x:mergeCell ref="D8:H8"/>
    <x:mergeCell ref="D9:H9"/>
    <x:mergeCell ref="D10:H10"/>
    <x:mergeCell ref="D11:H11"/>
    <x:mergeCell ref="D12:H12"/>
    <x:mergeCell ref="D13:H13"/>
    <x:mergeCell ref="A14:H14"/>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24" hidden="0" customWidth="1"/>
    <x:col min="3" max="3" width="38" hidden="0" customWidth="1"/>
    <x:col min="4" max="4" width="31" hidden="0" customWidth="1"/>
    <x:col min="5" max="5" width="30" hidden="0" customWidth="1"/>
    <x:col min="6" max="6" width="14" hidden="0" customWidth="1"/>
    <x:col min="7" max="7" width="24" hidden="0" customWidth="1"/>
    <x:col min="8" max="8" width="19" hidden="0" customWidth="1"/>
    <x:col min="9" max="9" width="42" hidden="0" customWidth="1"/>
    <x:col min="10" max="10" width="40" hidden="0" customWidth="1"/>
    <x:col min="11" max="11" width="18" hidden="0" customWidth="1"/>
    <x:col min="12" max="12" width="36" hidden="0" customWidth="1"/>
    <x:col min="13" max="13" width="45" hidden="0" customWidth="1"/>
    <x:col min="14" max="14" width="44" hidden="0" customWidth="1"/>
    <x:col min="15" max="15" width="25" hidden="0" customWidth="1"/>
    <x:col min="16" max="16" width="54" hidden="0" customWidth="1"/>
  </x:cols>
  <x:sheetData>
    <x:row r="1" ht="30" customHeight="1">
      <x:c r="A1" s="3" t="str">
        <x:v>LA &amp; California Housing Variable Inventory</x:v>
      </x:c>
      <x:c r="B1" s="3"/>
      <x:c r="C1" s="3"/>
      <x:c r="D1" s="3"/>
      <x:c r="E1" s="3"/>
      <x:c r="F1" s="3"/>
      <x:c r="G1" s="3"/>
      <x:c r="H1" s="3"/>
      <x:c r="I1" s="3"/>
      <x:c r="J1" s="3"/>
      <x:c r="K1" s="3"/>
      <x:c r="L1" s="3"/>
      <x:c r="M1" s="3"/>
      <x:c r="N1" s="3"/>
      <x:c r="O1" s="3"/>
      <x:c r="P1" s="3"/>
    </x:row>
    <x:row r="2" ht="34" customHeight="1">
      <x:c r="A2" s="7" t="str">
        <x:v>Status as of 2026-08-07. One authoritative row per canonical variable group; proxy rows never satisfy a missing target.</x:v>
      </x:c>
      <x:c r="B2" s="7"/>
      <x:c r="C2" s="7"/>
      <x:c r="D2" s="7"/>
      <x:c r="E2" s="7"/>
      <x:c r="F2" s="7"/>
      <x:c r="G2" s="7"/>
      <x:c r="H2" s="7"/>
      <x:c r="I2" s="7"/>
      <x:c r="J2" s="7"/>
      <x:c r="K2" s="7"/>
      <x:c r="L2" s="7"/>
      <x:c r="M2" s="7"/>
      <x:c r="N2" s="7"/>
      <x:c r="O2" s="7"/>
      <x:c r="P2" s="7"/>
    </x:row>
    <x:row r="3" ht="38" customHeight="1">
      <x:c r="A3" s="11" t="str">
        <x:v>Source rule: use only sources listed for the variable. The latest Additional Variables methodology overrides conflicting older tracker language.</x:v>
      </x:c>
      <x:c r="B3" s="11"/>
      <x:c r="C3" s="11"/>
      <x:c r="D3" s="11"/>
      <x:c r="E3" s="11"/>
      <x:c r="F3" s="11"/>
      <x:c r="G3" s="11"/>
      <x:c r="H3" s="11"/>
      <x:c r="I3" s="11"/>
      <x:c r="J3" s="11"/>
      <x:c r="K3" s="11"/>
      <x:c r="L3" s="11"/>
      <x:c r="M3" s="11"/>
      <x:c r="N3" s="11"/>
      <x:c r="O3" s="11"/>
      <x:c r="P3" s="11"/>
    </x:row>
    <x:row r="4" ht="38" customHeight="1">
      <x:c r="A4" s="17" t="str">
        <x:v>#</x:v>
      </x:c>
      <x:c r="B4" s="17" t="str">
        <x:v>Variable group</x:v>
      </x:c>
      <x:c r="C4" s="17" t="str">
        <x:v>Canonical variable(s)</x:v>
      </x:c>
      <x:c r="D4" s="17" t="str">
        <x:v>Display name</x:v>
      </x:c>
      <x:c r="E4" s="17" t="str">
        <x:v>Prior / legacy name</x:v>
      </x:c>
      <x:c r="F4" s="17" t="str">
        <x:v>Availability</x:v>
      </x:c>
      <x:c r="G4" s="17" t="str">
        <x:v>Detailed status</x:v>
      </x:c>
      <x:c r="H4" s="17" t="str">
        <x:v>Data class</x:v>
      </x:c>
      <x:c r="I4" s="17" t="str">
        <x:v>Allowed construction source(s)</x:v>
      </x:c>
      <x:c r="J4" s="17" t="str">
        <x:v>Implemented source ID(s)</x:v>
      </x:c>
      <x:c r="K4" s="17" t="str">
        <x:v>Source compliance</x:v>
      </x:c>
      <x:c r="L4" s="17" t="str">
        <x:v>Formula / definition</x:v>
      </x:c>
      <x:c r="M4" s="17" t="str">
        <x:v>Coverage summary</x:v>
      </x:c>
      <x:c r="N4" s="17" t="str">
        <x:v>Gap clarification</x:v>
      </x:c>
      <x:c r="O4" s="17" t="str">
        <x:v>Blocker stage</x:v>
      </x:c>
      <x:c r="P4" s="17" t="str">
        <x:v>Exact stuck step</x:v>
      </x:c>
    </x:row>
    <x:row r="5" ht="78" customHeight="1">
      <x:c r="A5" s="21" t="n">
        <x:v>1</x:v>
      </x:c>
      <x:c r="B5" s="21" t="str">
        <x:v>Finance / difficult variables</x:v>
      </x:c>
      <x:c r="C5" s="21" t="str">
        <x:v>six acs_implied_owner_occupied_home_equity_*_pmms_*_scenario_benchmark IDs | seven calibrated/dependent equity, per-owner, LTV, and equity-rate IDs</x:v>
      </x:c>
      <x:c r="D5" s="21" t="str">
        <x:v>Aggregate home equity</x:v>
      </x:c>
      <x:c r="E5" s="21" t="str">
        <x:v>—</x:v>
      </x:c>
      <x:c r="F5" s="25" t="str">
        <x:v>Partial</x:v>
      </x:c>
      <x:c r="G5" s="21" t="str">
        <x:v>Six PMMS term scenarios populated; seven calibrated/dependent IDs schema only</x:v>
      </x:c>
      <x:c r="H5" s="21" t="str">
        <x:v>scenario sensitivity + calibrated proxy target</x:v>
      </x:c>
      <x:c r="I5" s="21" t="str">
        <x:v>Four_Variable_Data_Status_Report: publish raw 20/25/30-year PMMS debt sensitivities and matching equity now; retain the earlier Version A compatible-FHFA-control rule for calibrated equity</x:v>
      </x:c>
      <x:c r="J5" s="21" t="str">
        <x:v>census_acs5_finance | census_acs5_pums_housing_ca | fhfa_nmdb_joint_distribution | fhfa_nmdb_ca_upb | freddie_mac_pmms | bls_cpi_u_us_city_average</x:v>
      </x:c>
      <x:c r="K5" s="28" t="str">
        <x:v>Compliant</x:v>
      </x:c>
      <x:c r="L5" s="21" t="str">
        <x:v>Scenario equity = matched B25082 mortgaged-owner value - matching 20/25/30-year PMMS debt; all-owner scenario adds B25082 mortgage-free value in full. Calibrated equity uses compatible calibrated debt.</x:v>
      </x:c>
      <x:c r="M5" s="21" t="str">
        <x:v>2024; 348 populated scenario-equity values across 58 California counties; 406 rows for seven calibrated/dependent equity IDs retained as null</x:v>
      </x:c>
      <x:c r="N5" s="21" t="str">
        <x:v>All six matching term-scenario series are complete. Calibrated nominal/real equity, equity per owner unit, aggregate LTV, and mortgaged-owner equity rate remain null because the archived FHFA TOT_UPB series covers all active mortgages rather than the required owner-occupied closed-end first-lien universe.</x:v>
      </x:c>
      <x:c r="O5" s="21" t="str">
        <x:v>Universe compatibility / methodology decision</x:v>
      </x:c>
      <x:c r="P5" s="21" t="str">
        <x:v>Obtain an exact-date California owner-occupied closed-end first-lien UPB control, potentially through custom/restricted FHFA coordination, or approve a documented compatible proxy/calibration method; never use all-mortgage TOT_UPB silently.</x:v>
      </x:c>
    </x:row>
    <x:row r="6" ht="78" customHeight="1">
      <x:c r="A6" s="20" t="n">
        <x:v>2</x:v>
      </x:c>
      <x:c r="B6" s="20" t="str">
        <x:v>Finance / difficult variables</x:v>
      </x:c>
      <x:c r="C6" s="20" t="str">
        <x:v>acs_implied_first_mortgage_balance_raw_pmms_20y_sensitivity_benchmark | acs_implied_first_mortgage_balance_raw_pmms_25y_sensitivity_benchmark | acs_implied_first_mortgage_balance_raw_pmms_30y_sensitivity_benchmark | acs_implied_first_mortgage_balance_raw_benchmark | acs_implied_first_mortgage_balance_cal_benchmark (+ calibrated ratio fields)</x:v>
      </x:c>
      <x:c r="D6" s="20" t="str">
        <x:v>Aggregate mortgage debt</x:v>
      </x:c>
      <x:c r="E6" s="20" t="str">
        <x:v>—</x:v>
      </x:c>
      <x:c r="F6" s="25" t="str">
        <x:v>Partial</x:v>
      </x:c>
      <x:c r="G6" s="20" t="str">
        <x:v>Three explicit term scenarios plus raw envelope; calibrated targets schema only</x:v>
      </x:c>
      <x:c r="H6" s="20" t="str">
        <x:v>scenario sensitivity + proxy benchmark</x:v>
      </x:c>
      <x:c r="I6" s="20" t="str">
        <x:v>Four_Variable_Data_Status_Report: publish raw 20/25/30-year PMMS scenarios now; earlier Version A method still requires a compatible FHFA NMDB California UPB control for calibration</x:v>
      </x:c>
      <x:c r="J6" s="20" t="str">
        <x:v>census_acs5_finance | census_acs5_pums_housing_ca | fhfa_nmdb_joint_distribution | fhfa_nmdb_ca_upb | freddie_mac_pmms</x:v>
      </x:c>
      <x:c r="K6" s="28" t="str">
        <x:v>Compliant</x:v>
      </x:c>
      <x:c r="L6" s="20" t="str">
        <x:v>Capitalize matched ACS/PUMS aggregate P&amp;I at the exact-month PMMS rate for fixed 20/25/30-year remaining terms; calibrated targets require a compatible California UPB control</x:v>
      </x:c>
      <x:c r="M6" s="20" t="str">
        <x:v>2024; 174 populated fixed-term debt scenarios plus 58 populated raw-envelope values across 58 California counties</x:v>
      </x:c>
      <x:c r="N6" s="20" t="str">
        <x:v>The 232 raw scenario/envelope values are available, but all 290 calibrated debt/ratio rows remain null. The archived official state TOT_UPB file is all-mortgage, not owner-occupied closed-end first-lien.</x:v>
      </x:c>
      <x:c r="O6" s="20" t="str">
        <x:v>Universe compatibility / methodology decision</x:v>
      </x:c>
      <x:c r="P6" s="20" t="str">
        <x:v>Obtain an exact-date California owner-occupied closed-end first-lien UPB control or approve an explicit compatible-universe calibration rule.</x:v>
      </x:c>
    </x:row>
    <x:row r="7" ht="78" customHeight="1">
      <x:c r="A7" s="21" t="n">
        <x:v>3</x:v>
      </x:c>
      <x:c r="B7" s="21" t="str">
        <x:v>Finance / difficult variables</x:v>
      </x:c>
      <x:c r="C7" s="21" t="str">
        <x:v>28 hmda_*_benchmark IDs: overall and conventional/FHA/VA down-payment rates, aggregate flows, and threshold shares</x:v>
      </x:c>
      <x:c r="D7" s="21" t="str">
        <x:v>Observed HMDA down-payment benchmarks</x:v>
      </x:c>
      <x:c r="E7" s="21" t="str">
        <x:v>—</x:v>
      </x:c>
      <x:c r="F7" s="29" t="str">
        <x:v>Have</x:v>
      </x:c>
      <x:c r="G7" s="21" t="str">
        <x:v>All 28 configured IDs present from the official 2025 Combined Modified LAR</x:v>
      </x:c>
      <x:c r="H7" s="21" t="str">
        <x:v>derived observed</x:v>
      </x:c>
      <x:c r="I7" s="21" t="str">
        <x:v>No source is assigned to HMDA variables in LA_CA_Housing_Additional_Variables_Methodology.docx. CFPB/FFIEC HMDA appears only in the repository Version A configuration.</x:v>
      </x:c>
      <x:c r="J7" s="21" t="str">
        <x:v>cfpb_hmda_modified_lar</x:v>
      </x:c>
      <x:c r="K7" s="32" t="str">
        <x:v>Non-compliant</x:v>
      </x:c>
      <x:c r="L7" s="21" t="str">
        <x:v>Annual county aggregation of reported property value and combined LTV for originated, home-purchase, principal-residence, first-lien loans; overall and conventional/FHA/VA groups</x:v>
      </x:c>
      <x:c r="M7" s="21" t="str">
        <x:v>2025; 1,624 rows across 58 California counties and four loan-type groups; 1,141 non-null after sample-size suppression; all 28 LA County values non-null</x:v>
      </x:c>
      <x:c r="N7" s="21" t="str">
        <x:v>483 county/loan-type values remain null under the configured N=50 overall and N=100 split minimum-sample rules; these are intentional suppressions, not acquisition gaps.</x:v>
      </x:c>
      <x:c r="O7" s="21" t="str">
        <x:v>Source authorization</x:v>
      </x:c>
      <x:c r="P7" s="21" t="str">
        <x:v>Keep the existing data labeled repository-only and outside latest-document-compliant analyses unless a user-approved methodology explicitly adds CFPB/FFIEC HMDA for these 28 variables.</x:v>
      </x:c>
    </x:row>
    <x:row r="8" ht="78" customHeight="1">
      <x:c r="A8" s="20" t="n">
        <x:v>4</x:v>
      </x:c>
      <x:c r="B8" s="20" t="str">
        <x:v>Buyer-cost scenarios</x:v>
      </x:c>
      <x:c r="C8" s="20" t="str">
        <x:v>mortgage_payment_3_5pct_down | mortgage_payment_10pct_down | mortgage_payment_20pct_down</x:v>
      </x:c>
      <x:c r="D8" s="20" t="str">
        <x:v>Monthly mortgage-payment scenarios</x:v>
      </x:c>
      <x:c r="E8" s="20" t="str">
        <x:v>Monthly Mortgage Payment</x:v>
      </x:c>
      <x:c r="F8" s="29" t="str">
        <x:v>Have</x:v>
      </x:c>
      <x:c r="G8" s="20" t="str">
        <x:v>Implemented</x:v>
      </x:c>
      <x:c r="H8" s="20" t="str">
        <x:v>scenario</x:v>
      </x:c>
      <x:c r="I8" s="20" t="str">
        <x:v>Earlier listed method: local Redfin/Zillow price, prevailing mortgage rate, stated LTV/down-payment and term; optional ACS owner-cost validation</x:v>
      </x:c>
      <x:c r="J8" s="20" t="str">
        <x:v>redfin_county_monthly | freddie_mac_pmms</x:v>
      </x:c>
      <x:c r="K8" s="28" t="str">
        <x:v>Compliant</x:v>
      </x:c>
      <x:c r="L8" s="20" t="str">
        <x:v>Principal-and-interest amortization under 3.5%, 10%, and 20% down-payment scenarios</x:v>
      </x:c>
      <x:c r="M8" s="20" t="str">
        <x:v>173 LA County months, 2012-01 through 2026-05</x:v>
      </x:c>
      <x:c r="N8" s="20" t="str">
        <x:v>None</x:v>
      </x:c>
      <x:c r="O8" s="20" t="str">
        <x:v>None</x:v>
      </x:c>
      <x:c r="P8" s="20" t="str">
        <x:v>None</x:v>
      </x:c>
    </x:row>
    <x:row r="9" ht="78" customHeight="1">
      <x:c r="A9" s="21" t="n">
        <x:v>5</x:v>
      </x:c>
      <x:c r="B9" s="21" t="str">
        <x:v>Buyer-cost scenarios</x:v>
      </x:c>
      <x:c r="C9" s="21" t="str">
        <x:v>down_payment_3_5pct | down_payment_10pct | down_payment_20pct</x:v>
      </x:c>
      <x:c r="D9" s="21" t="str">
        <x:v>Down-payment scenarios</x:v>
      </x:c>
      <x:c r="E9" s="21" t="str">
        <x:v>Homebuying Costs - Downpayment</x:v>
      </x:c>
      <x:c r="F9" s="29" t="str">
        <x:v>Have</x:v>
      </x:c>
      <x:c r="G9" s="21" t="str">
        <x:v>Implemented</x:v>
      </x:c>
      <x:c r="H9" s="21" t="str">
        <x:v>scenario</x:v>
      </x:c>
      <x:c r="I9" s="21" t="str">
        <x:v>Earlier listed method: stated percentage of the median sale price</x:v>
      </x:c>
      <x:c r="J9" s="21" t="str">
        <x:v>redfin_county_monthly</x:v>
      </x:c>
      <x:c r="K9" s="28" t="str">
        <x:v>Compliant</x:v>
      </x:c>
      <x:c r="L9" s="21" t="str">
        <x:v>median_sale_price × {0.035, 0.10, 0.20}</x:v>
      </x:c>
      <x:c r="M9" s="21" t="str">
        <x:v>173 LA County months, 2012-01 through 2026-05</x:v>
      </x:c>
      <x:c r="N9" s="21" t="str">
        <x:v>None</x:v>
      </x:c>
      <x:c r="O9" s="21" t="str">
        <x:v>None</x:v>
      </x:c>
      <x:c r="P9" s="21" t="str">
        <x:v>None</x:v>
      </x:c>
    </x:row>
    <x:row r="10" ht="78" customHeight="1">
      <x:c r="A10" s="20" t="n">
        <x:v>6</x:v>
      </x:c>
      <x:c r="B10" s="20" t="str">
        <x:v>Buyer-cost scenarios</x:v>
      </x:c>
      <x:c r="C10" s="20" t="str">
        <x:v>closing_cost_saleprice_2pct | closing_cost_saleprice_3pct | closing_cost_saleprice_5pct</x:v>
      </x:c>
      <x:c r="D10" s="20" t="str">
        <x:v>Sale-price closing-cost scenarios</x:v>
      </x:c>
      <x:c r="E10" s="20" t="str">
        <x:v>closing_cost_2pct | closing_cost_3pct | closing_cost_5pct</x:v>
      </x:c>
      <x:c r="F10" s="29" t="str">
        <x:v>Have</x:v>
      </x:c>
      <x:c r="G10" s="20" t="str">
        <x:v>Canonical and legacy fields implemented</x:v>
      </x:c>
      <x:c r="H10" s="20" t="str">
        <x:v>scenario</x:v>
      </x:c>
      <x:c r="I10" s="20" t="str">
        <x:v>Redfin median sale price for construction; CFPB and FHFA guidance only for interpretation and benchmarking</x:v>
      </x:c>
      <x:c r="J10" s="20" t="str">
        <x:v>redfin_county_monthly | redfin_zip_monthly</x:v>
      </x:c>
      <x:c r="K10" s="28" t="str">
        <x:v>Compliant</x:v>
      </x:c>
      <x:c r="L10" s="20" t="str">
        <x:v>median_sale_price × {0.02, 0.03, 0.05}</x:v>
      </x:c>
      <x:c r="M10" s="20" t="str">
        <x:v>173 LA County sale-price observations and 22,946 postal-ZIP rolling-three-month sale-price observations; canonical 2%/3%/5% fields plus the long scenario layer</x:v>
      </x:c>
      <x:c r="N10" s="20" t="str">
        <x:v>ZIP values inherit Redfin provider gaps and overlapping rolling-three-month windows.</x:v>
      </x:c>
      <x:c r="O10" s="20" t="str">
        <x:v>None</x:v>
      </x:c>
      <x:c r="P10" s="20" t="str">
        <x:v>None; preserve scenario and rolling-window labels.</x:v>
      </x:c>
    </x:row>
    <x:row r="11" ht="78" customHeight="1">
      <x:c r="A11" s="21" t="n">
        <x:v>7</x:v>
      </x:c>
      <x:c r="B11" s="21" t="str">
        <x:v>Buyer-cost scenarios</x:v>
      </x:c>
      <x:c r="C11" s="21" t="str">
        <x:v>closing_cost_loan_3pct | closing_cost_loan_6pct</x:v>
      </x:c>
      <x:c r="D11" s="21" t="str">
        <x:v>Loan-based closing-cost sensitivity</x:v>
      </x:c>
      <x:c r="E11" s="21" t="str">
        <x:v>—</x:v>
      </x:c>
      <x:c r="F11" s="29" t="str">
        <x:v>Have</x:v>
      </x:c>
      <x:c r="G11" s="21" t="str">
        <x:v>Full down-payment cross-product implemented</x:v>
      </x:c>
      <x:c r="H11" s="21" t="str">
        <x:v>scenario sensitivity</x:v>
      </x:c>
      <x:c r="I11" s="21" t="str">
        <x:v>Estimated mortgage amount from a documented scenario; FHFA supplies the 3%-6% range guidance only</x:v>
      </x:c>
      <x:c r="J11" s="21" t="str">
        <x:v>redfin_county_monthly | redfin_zip_monthly | configured 3.5%/10%/20% down-payment scenarios</x:v>
      </x:c>
      <x:c r="K11" s="28" t="str">
        <x:v>Compliant</x:v>
      </x:c>
      <x:c r="L11" s="21" t="str">
        <x:v>estimated_mortgage_amount_scenario × {0.03, 0.06} for each down-payment scenario</x:v>
      </x:c>
      <x:c r="M11" s="21" t="str">
        <x:v>All positive Redfin price observations crossed with three down-payment and two loan-cost scenarios</x:v>
      </x:c>
      <x:c r="N11" s="21" t="str">
        <x:v>ZIP coverage inherits source nulls and rolling-three-month windows.</x:v>
      </x:c>
      <x:c r="O11" s="21" t="str">
        <x:v>None</x:v>
      </x:c>
      <x:c r="P11" s="21" t="str">
        <x:v>None; no single down-payment assumption is selected silently.</x:v>
      </x:c>
    </x:row>
    <x:row r="12" ht="78" customHeight="1">
      <x:c r="A12" s="20" t="n">
        <x:v>8</x:v>
      </x:c>
      <x:c r="B12" s="20" t="str">
        <x:v>Buyer-cost scenarios</x:v>
      </x:c>
      <x:c r="C12" s="20" t="str">
        <x:v>total_cash_to_close_scenario</x:v>
      </x:c>
      <x:c r="D12" s="20" t="str">
        <x:v>Total cash to close</x:v>
      </x:c>
      <x:c r="E12" s="20" t="str">
        <x:v>—</x:v>
      </x:c>
      <x:c r="F12" s="29" t="str">
        <x:v>Have</x:v>
      </x:c>
      <x:c r="G12" s="20" t="str">
        <x:v>Full scenario cross-product implemented</x:v>
      </x:c>
      <x:c r="H12" s="20" t="str">
        <x:v>scenario</x:v>
      </x:c>
      <x:c r="I12" s="20" t="str">
        <x:v>Existing approved down-payment scenario plus approved closing-cost scenario</x:v>
      </x:c>
      <x:c r="J12" s="20" t="str">
        <x:v>down_payment_* | closing_cost_saleprice_* | closing_cost_loan_*</x:v>
      </x:c>
      <x:c r="K12" s="28" t="str">
        <x:v>Compliant</x:v>
      </x:c>
      <x:c r="L12" s="20" t="str">
        <x:v>down_payment_scenario + closing_cost_scenario</x:v>
      </x:c>
      <x:c r="M12" s="20" t="str">
        <x:v>346,785 keyed rows: 2,595 county and 344,190 postal-ZIP scenario rows</x:v>
      </x:c>
      <x:c r="N12" s="20" t="str">
        <x:v>ZIP coverage inherits source nulls and rolling-three-month windows; prepaid escrow remains excluded.</x:v>
      </x:c>
      <x:c r="O12" s="20" t="str">
        <x:v>None</x:v>
      </x:c>
      <x:c r="P12" s="20" t="str">
        <x:v>None; preserve every scenario key and exclusion note.</x:v>
      </x:c>
    </x:row>
    <x:row r="13" ht="78" customHeight="1">
      <x:c r="A13" s="21" t="n">
        <x:v>9</x:v>
      </x:c>
      <x:c r="B13" s="21" t="str">
        <x:v>Insurance</x:v>
      </x:c>
      <x:c r="C13" s="21" t="str">
        <x:v>ca_homeowners_avg_written_premium</x:v>
      </x:c>
      <x:c r="D13" s="21" t="str">
        <x:v>California average written homeowners premium</x:v>
      </x:c>
      <x:c r="E13" s="21" t="str">
        <x:v>Homebuying Costs - Property Insurance</x:v>
      </x:c>
      <x:c r="F13" s="29" t="str">
        <x:v>Have</x:v>
      </x:c>
      <x:c r="G13" s="21" t="str">
        <x:v>Official annual state series implemented</x:v>
      </x:c>
      <x:c r="H13" s="21" t="str">
        <x:v>observed annual control</x:v>
      </x:c>
      <x:c r="I13" s="21" t="str">
        <x:v>California Department of Insurance Residential Property Insurance Report</x:v>
      </x:c>
      <x:c r="J13" s="21" t="str">
        <x:v>ca_doi_residential_property_part_i</x:v>
      </x:c>
      <x:c r="K13" s="28" t="str">
        <x:v>Compliant</x:v>
      </x:c>
      <x:c r="L13" s="21" t="str">
        <x:v>sum(Homeowners Multi-Peril written premium) / sum(written exposures) across all published coverage ranges</x:v>
      </x:c>
      <x:c r="M13" s="21" t="str">
        <x:v>16 California annual observations, 2008-2023; 2023 average = $1,787.912186 per exposure</x:v>
      </x:c>
      <x:c r="N13" s="21" t="str">
        <x:v>State annual only; it is not an LA County premium quote or an observed monthly series.</x:v>
      </x:c>
      <x:c r="O13" s="21" t="str">
        <x:v>None</x:v>
      </x:c>
      <x:c r="P13" s="21" t="str">
        <x:v>None for the nominal annual base series.</x:v>
      </x:c>
    </x:row>
    <x:row r="14" ht="78" customHeight="1">
      <x:c r="A14" s="20" t="n">
        <x:v>10</x:v>
      </x:c>
      <x:c r="B14" s="20" t="str">
        <x:v>Insurance</x:v>
      </x:c>
      <x:c r="C14" s="20" t="str">
        <x:v>ca_homeowners_avg_written_premium_real | ca_homeowners_avg_written_premium_yoy | ca_homeowners_avg_written_premium_monthly_control</x:v>
      </x:c>
      <x:c r="D14" s="20" t="str">
        <x:v>Real premium, annual growth, and flagged monthly control</x:v>
      </x:c>
      <x:c r="E14" s="20" t="str">
        <x:v>—</x:v>
      </x:c>
      <x:c r="F14" s="25" t="str">
        <x:v>Partial</x:v>
      </x:c>
      <x:c r="G14" s="20" t="str">
        <x:v>Annual YoY and monthly step control implemented; real field missing</x:v>
      </x:c>
      <x:c r="H14" s="20" t="str">
        <x:v>derived control</x:v>
      </x:c>
      <x:c r="I14" s="20" t="str">
        <x:v>California DOI base premium; CPI-U is named for deflation but the exact CPI series is not specified in this methodology section</x:v>
      </x:c>
      <x:c r="J14" s="20" t="str">
        <x:v>ca_doi_residential_property_part_i base + exact annual YoY + calendar-year monthly step control</x:v>
      </x:c>
      <x:c r="K14" s="28" t="str">
        <x:v>Compliant</x:v>
      </x:c>
      <x:c r="L14" s="20" t="str">
        <x:v>Deflate annual premium; compute annual YoY; carry annual value forward as a flagged step function for monthly models</x:v>
      </x:c>
      <x:c r="M14" s="20" t="str">
        <x:v>15 annual YoY values for 2009-2023; 192 flagged monthly-control values for 2008-01 through 2023-12; real-dollar field absent</x:v>
      </x:c>
      <x:c r="N14" s="20" t="str">
        <x:v>Annual YoY has 15 values for 2009-2023 and the flagged monthly control has 192 values for 2008-2023. Only the real-dollar field is missing because the governing method does not select the exact CPI-U series/reference year.</x:v>
      </x:c>
      <x:c r="O14" s="20" t="str">
        <x:v>Deflator method decision</x:v>
      </x:c>
      <x:c r="P14" s="20" t="str">
        <x:v>Approve the exact already-listed CPI-U series and reference year for real dollars.</x:v>
      </x:c>
    </x:row>
    <x:row r="15" ht="78" customHeight="1">
      <x:c r="A15" s="21" t="n">
        <x:v>11</x:v>
      </x:c>
      <x:c r="B15" s="21" t="str">
        <x:v>Rent-control exposure</x:v>
      </x:c>
      <x:c r="C15" s="21" t="str">
        <x:v>noncontrolled_exposure_share</x:v>
      </x:c>
      <x:c r="D15" s="21" t="str">
        <x:v>Estimated noncontrolled rental exposure share</x:v>
      </x:c>
      <x:c r="E15" s="21" t="str">
        <x:v>—</x:v>
      </x:c>
      <x:c r="F15" s="33" t="str">
        <x:v>Do not have</x:v>
      </x:c>
      <x:c r="G15" s="21" t="str">
        <x:v>Not implemented</x:v>
      </x:c>
      <x:c r="H15" s="21" t="str">
        <x:v>modeled share</x:v>
      </x:c>
      <x:c r="I15" s="21" t="str">
        <x:v>Methodology-listed parcel/building characteristics, ACS tenure/structure-age proxy inputs, California Tenant Protection Act information, and separately coded local ordinances</x:v>
      </x:c>
      <x:c r="J15" s="21" t="str">
        <x:v>None</x:v>
      </x:c>
      <x:c r="K15" s="35" t="str">
        <x:v>Not applicable</x:v>
      </x:c>
      <x:c r="L15" s="21" t="str">
        <x:v>1 - estimated_controlled_share, bounded to [0,1]</x:v>
      </x:c>
      <x:c r="M15" s="21" t="str">
        <x:v>None</x:v>
      </x:c>
      <x:c r="N15" s="21" t="str">
        <x:v>The methodology does not supply the exact parcel/building dataset, and the dated AB 1482/local-ordinance crosswalk has not been built.</x:v>
      </x:c>
      <x:c r="O15" s="21" t="str">
        <x:v>Policy/exposure crosswalk</x:v>
      </x:c>
      <x:c r="P15" s="21" t="str">
        <x:v>Identify the exact source within the methodology's named parcel/building category, then code dated state/local rules, covered property types, dates, and exemptions.</x:v>
      </x:c>
    </x:row>
    <x:row r="16" ht="78" customHeight="1">
      <x:c r="A16" s="20" t="n">
        <x:v>12</x:v>
      </x:c>
      <x:c r="B16" s="20" t="str">
        <x:v>Rent-control exposure</x:v>
      </x:c>
      <x:c r="C16" s="20" t="str">
        <x:v>exposure_adjusted_noncontrolled_rent_growth</x:v>
      </x:c>
      <x:c r="D16" s="20" t="str">
        <x:v>Exposure-adjusted noncontrolled rent growth</x:v>
      </x:c>
      <x:c r="E16" s="20" t="str">
        <x:v>Rental price increase in non-rent-controlled locations</x:v>
      </x:c>
      <x:c r="F16" s="33" t="str">
        <x:v>Do not have</x:v>
      </x:c>
      <x:c r="G16" s="20" t="str">
        <x:v>Correctly blocked</x:v>
      </x:c>
      <x:c r="H16" s="20" t="str">
        <x:v>modeled proxy</x:v>
      </x:c>
      <x:c r="I16" s="20" t="str">
        <x:v>Zillow ZORI plus the methodology-listed noncontrolled exposure layer and dated state/local policy rules</x:v>
      </x:c>
      <x:c r="J16" s="20" t="str">
        <x:v>zillow_county_zori_smoothed_sa is available only as an input</x:v>
      </x:c>
      <x:c r="K16" s="28" t="str">
        <x:v>Compliant</x:v>
      </x:c>
      <x:c r="L16" s="20" t="str">
        <x:v>zori_yoy × noncontrolled_exposure_share</x:v>
      </x:c>
      <x:c r="M16" s="20" t="str">
        <x:v>ZORI YoY input: 125 LA County months, 2016-01 through 2026-05; exposure input absent</x:v>
      </x:c>
      <x:c r="N16" s="20" t="str">
        <x:v>The exposure share and policy crosswalk are missing, so the adjusted target cannot be constructed.</x:v>
      </x:c>
      <x:c r="O16" s="20" t="str">
        <x:v>Policy/exposure crosswalk</x:v>
      </x:c>
      <x:c r="P16" s="20" t="str">
        <x:v>Complete and validate noncontrolled_exposure_share first, then multiply by ZORI YoY and retain the modeled-proxy label.</x:v>
      </x:c>
    </x:row>
    <x:row r="17" ht="78" customHeight="1">
      <x:c r="A17" s="21" t="n">
        <x:v>13</x:v>
      </x:c>
      <x:c r="B17" s="21" t="str">
        <x:v>Other difficult variables</x:v>
      </x:c>
      <x:c r="C17" s="21" t="str">
        <x:v>eviction_lab_filings_estimate_annual | eviction_lab_filings_rate_estimate_annual | eviction_lab_households_threatened_estimate_annual | eviction_lab_households_threatened_rate_estimate_annual</x:v>
      </x:c>
      <x:c r="D17" s="21" t="str">
        <x:v>Eviction trends</x:v>
      </x:c>
      <x:c r="E17" s="21" t="str">
        <x:v>Eviction trends (high-frequency, consistent)</x:v>
      </x:c>
      <x:c r="F17" s="25" t="str">
        <x:v>Partial</x:v>
      </x:c>
      <x:c r="G17" s="21" t="str">
        <x:v>Annual modeled estimates only</x:v>
      </x:c>
      <x:c r="H17" s="21" t="str">
        <x:v>modeled annual estimate</x:v>
      </x:c>
      <x:c r="I17" s="21" t="str">
        <x:v>Earlier listed workaround: Eviction Lab ETS where available; otherwise annual filings/estimates with explicit timing treatment</x:v>
      </x:c>
      <x:c r="J17" s="21" t="str">
        <x:v>eviction_lab_county_estimates</x:v>
      </x:c>
      <x:c r="K17" s="28" t="str">
        <x:v>Compliant</x:v>
      </x:c>
      <x:c r="L17" s="21" t="str">
        <x:v>—</x:v>
      </x:c>
      <x:c r="M17" s="21" t="str">
        <x:v>19 annual values per variable, 2000-2018</x:v>
      </x:c>
      <x:c r="N17" s="21" t="str">
        <x:v>LA is unavailable in the validated ETS/observed files; available values are annual modeled estimates, not high-frequency court filings.</x:v>
      </x:c>
      <x:c r="O17" s="21" t="str">
        <x:v>Source identification (listed sources only)</x:v>
      </x:c>
      <x:c r="P17" s="21" t="str">
        <x:v>Within the already-listed Eviction Lab source, verify whether a later LA high-frequency product becomes available; otherwise preserve the annual modeled label and leave high frequency unsatisfied.</x:v>
      </x:c>
    </x:row>
    <x:row r="18" ht="78" customHeight="1">
      <x:c r="A18" s="20" t="n">
        <x:v>14</x:v>
      </x:c>
      <x:c r="B18" s="20" t="str">
        <x:v>Construction pipeline</x:v>
      </x:c>
      <x:c r="C18" s="20" t="str">
        <x:v>new_apartments_completed_proxy</x:v>
      </x:c>
      <x:c r="D18" s="20" t="str">
        <x:v>New apartments completed</x:v>
      </x:c>
      <x:c r="E18" s="20" t="str">
        <x:v>New Apartments Completed (county time series)</x:v>
      </x:c>
      <x:c r="F18" s="33" t="str">
        <x:v>Do not have</x:v>
      </x:c>
      <x:c r="G18" s="20" t="str">
        <x:v>Input only</x:v>
      </x:c>
      <x:c r="H18" s="20" t="str">
        <x:v>proxy target</x:v>
      </x:c>
      <x:c r="I18" s="20" t="str">
        <x:v>Earlier listed workaround: lagged Census BPS permits_5_plus_units using a versioned completion-lag structure</x:v>
      </x:c>
      <x:c r="J18" s="20" t="str">
        <x:v>census_bps_county | census_bps_state (input only)</x:v>
      </x:c>
      <x:c r="K18" s="28" t="str">
        <x:v>Compliant</x:v>
      </x:c>
      <x:c r="L18" s="20" t="str">
        <x:v>Versioned lag transformation of multifamily permits; exact lag model not yet approved</x:v>
      </x:c>
      <x:c r="M18" s="20" t="str">
        <x:v>Input permits: LA County and California monthly, 2000-01 through 2026-06</x:v>
      </x:c>
      <x:c r="N18" s="20" t="str">
        <x:v>No completion variable exists because the completion-lag model has not been specified.</x:v>
      </x:c>
      <x:c r="O18" s="20" t="str">
        <x:v>Formula/method decision</x:v>
      </x:c>
      <x:c r="P18" s="20" t="str">
        <x:v>Specify and document the lag distribution/window, then implement and validate the proxy from permits_5_plus_units.</x:v>
      </x:c>
    </x:row>
    <x:row r="19" ht="78" customHeight="1">
      <x:c r="A19" s="21" t="n">
        <x:v>15</x:v>
      </x:c>
      <x:c r="B19" s="21" t="str">
        <x:v>Construction pipeline</x:v>
      </x:c>
      <x:c r="C19" s="21" t="str">
        <x:v>multifamily_under_construction_proxy</x:v>
      </x:c>
      <x:c r="D19" s="21" t="str">
        <x:v>Multifamily under construction</x:v>
      </x:c>
      <x:c r="E19" s="21" t="str">
        <x:v>—</x:v>
      </x:c>
      <x:c r="F19" s="33" t="str">
        <x:v>Do not have</x:v>
      </x:c>
      <x:c r="G19" s="21" t="str">
        <x:v>Input only</x:v>
      </x:c>
      <x:c r="H19" s="21" t="str">
        <x:v>proxy target</x:v>
      </x:c>
      <x:c r="I19" s="21" t="str">
        <x:v>Earlier listed workaround: cumulative Census BPS multifamily permits minus assumed completions over a documented rolling window</x:v>
      </x:c>
      <x:c r="J19" s="21" t="str">
        <x:v>census_bps_county | census_bps_state (input only)</x:v>
      </x:c>
      <x:c r="K19" s="28" t="str">
        <x:v>Compliant</x:v>
      </x:c>
      <x:c r="L19" s="21" t="str">
        <x:v>Cumulative multifamily permits - assumed completions over a defined rolling window</x:v>
      </x:c>
      <x:c r="M19" s="21" t="str">
        <x:v>Input permits: LA County and California monthly, 2000-01 through 2026-06</x:v>
      </x:c>
      <x:c r="N19" s="21" t="str">
        <x:v>Neither assumed completions nor the rolling stock window is defined.</x:v>
      </x:c>
      <x:c r="O19" s="21" t="str">
        <x:v>Formula/method decision</x:v>
      </x:c>
      <x:c r="P19" s="21" t="str">
        <x:v>Approve the completion rule and rolling window, then construct the stock proxy from the existing BPS input.</x:v>
      </x:c>
    </x:row>
    <x:row r="20" ht="78" customHeight="1">
      <x:c r="A20" s="20" t="n">
        <x:v>16</x:v>
      </x:c>
      <x:c r="B20" s="20" t="str">
        <x:v>Construction pipeline</x:v>
      </x:c>
      <x:c r="C20" s="20" t="str">
        <x:v>single_family_rental_construction_proxy</x:v>
      </x:c>
      <x:c r="D20" s="20" t="str">
        <x:v>Single-family rental construction</x:v>
      </x:c>
      <x:c r="E20" s="20" t="str">
        <x:v>—</x:v>
      </x:c>
      <x:c r="F20" s="33" t="str">
        <x:v>Do not have</x:v>
      </x:c>
      <x:c r="G20" s="20" t="str">
        <x:v>Input only</x:v>
      </x:c>
      <x:c r="H20" s="20" t="str">
        <x:v>proxy target</x:v>
      </x:c>
      <x:c r="I20" s="20" t="str">
        <x:v>Earlier listed workaround: Census BPS 1-unit permits combined with a high-investor/rental-growth tract classifier</x:v>
      </x:c>
      <x:c r="J20" s="20" t="str">
        <x:v>census_bps_county | census_bps_state (permit input only)</x:v>
      </x:c>
      <x:c r="K20" s="28" t="str">
        <x:v>Compliant</x:v>
      </x:c>
      <x:c r="L20" s="20" t="str">
        <x:v>1-unit permits filtered/weighted by an approved investor or rental-growth classifier</x:v>
      </x:c>
      <x:c r="M20" s="20" t="str">
        <x:v>Permit input: LA County and California monthly, 2000-01 through 2026-06</x:v>
      </x:c>
      <x:c r="N20" s="20" t="str">
        <x:v>The required investor/rental-growth tract classifier is absent; no build-for-rent flag is loaded.</x:v>
      </x:c>
      <x:c r="O20" s="20" t="str">
        <x:v>Source identification (listed sources only)</x:v>
      </x:c>
      <x:c r="P20" s="20" t="str">
        <x:v>Within the previously listed classifier concept, identify and approve the exact input source, then build and validate the tract classifier.</x:v>
      </x:c>
    </x:row>
    <x:row r="21" ht="78" customHeight="1">
      <x:c r="A21" s="21" t="n">
        <x:v>17</x:v>
      </x:c>
      <x:c r="B21" s="21" t="str">
        <x:v>Rental occupancy</x:v>
      </x:c>
      <x:c r="C21" s="21" t="str">
        <x:v>net_change_occupied_apartments_annual | zcta_renter_occupied_units_vintage_change_annual</x:v>
      </x:c>
      <x:c r="D21" s="21" t="str">
        <x:v>Net change in occupied apartments</x:v>
      </x:c>
      <x:c r="E21" s="21" t="str">
        <x:v>Net Change in Occupied Apartments (quarterly)</x:v>
      </x:c>
      <x:c r="F21" s="25" t="str">
        <x:v>Partial</x:v>
      </x:c>
      <x:c r="G21" s="21" t="str">
        <x:v>Annual county and exact-ZCTA all-renter-occupied vintage-change proxies implemented; quarterly target absent</x:v>
      </x:c>
      <x:c r="H21" s="21" t="str">
        <x:v>derived annual proxy</x:v>
      </x:c>
      <x:c r="I21" s="21" t="str">
        <x:v>Earlier listed workaround: annual ACS change in renter-occupied units; any timing model must remain explicit</x:v>
      </x:c>
      <x:c r="J21" s="21" t="str">
        <x:v>census_acs_5year_b25003 | net_change_occupied_apartments_annual | zcta_renter_occupied_units_vintage_change_annual</x:v>
      </x:c>
      <x:c r="K21" s="28" t="str">
        <x:v>Compliant</x:v>
      </x:c>
      <x:c r="L21" s="21" t="str">
        <x:v>Current B25003 renter-occupied estimate minus the immediately prior ending-year estimate; only consecutive vintages</x:v>
      </x:c>
      <x:c r="M21" s="21" t="str">
        <x:v>14 LA County annual vintage differences, 2011-2024, plus 3,562 exact Census-ZCTA differences across 274 ZCTAs, 2012-2024</x:v>
      </x:c>
      <x:c r="N21" s="21" t="str">
        <x:v>The annual county and ZCTA proxies are complete, but they cover all renter-occupied housing units rather than literal multifamily apartments and no quarterly timing is constructed.</x:v>
      </x:c>
      <x:c r="O21" s="21" t="str">
        <x:v>Frequency / geography methodology decision</x:v>
      </x:c>
      <x:c r="P21" s="21" t="str">
        <x:v>Approve an explicit quarterly timing treatment only if the research design requires one; retain both completed annual controls at native ACS-vintage frequency.</x:v>
      </x:c>
    </x:row>
    <x:row r="22" ht="78" customHeight="1">
      <x:c r="A22" s="20" t="n">
        <x:v>18</x:v>
      </x:c>
      <x:c r="B22" s="20" t="str">
        <x:v>Affordability</x:v>
      </x:c>
      <x:c r="C22" s="20" t="str">
        <x:v>county_annual_price_to_income_acs | zcta_annual_price_to_income_acs</x:v>
      </x:c>
      <x:c r="D22" s="20" t="str">
        <x:v>Price-to-income ratio</x:v>
      </x:c>
      <x:c r="E22" s="20" t="str">
        <x:v>Price-to-Income Ratio (quarterly/local)</x:v>
      </x:c>
      <x:c r="F22" s="25" t="str">
        <x:v>Partial</x:v>
      </x:c>
      <x:c r="G22" s="20" t="str">
        <x:v>Annual LA County and exact-ZCTA ACS ratios</x:v>
      </x:c>
      <x:c r="H22" s="20" t="str">
        <x:v>derived annual control</x:v>
      </x:c>
      <x:c r="I22" s="20" t="str">
        <x:v>Earlier listed workaround: ACS median home value divided by annual ACS median household income; any mixed-frequency extension must remain explicit</x:v>
      </x:c>
      <x:c r="J22" s="20" t="str">
        <x:v>census_acs_5year_b25077 | census_acs_5year_b19013 | county_annual_price_to_income_acs | zcta_annual_price_to_income_acs</x:v>
      </x:c>
      <x:c r="K22" s="28" t="str">
        <x:v>Compliant</x:v>
      </x:c>
      <x:c r="L22" s="20" t="str">
        <x:v>ACS median home value / ACS median household income</x:v>
      </x:c>
      <x:c r="M22" s="20" t="str">
        <x:v>15 LA County annual ratios, 2010-2024, plus 3,830 non-null matched-vintage ratios across 274 Census ZCTAs, 2011-2024; six ZCTA source gaps remain null</x:v>
      </x:c>
      <x:c r="N22" s="20" t="str">
        <x:v>The annual county and ZCTA ratios are complete; only the requested quarterly alternative lacks an approved mixed-frequency treatment. Census ZCTAs are not postal ZIPs.</x:v>
      </x:c>
      <x:c r="O22" s="20" t="str">
        <x:v>Frequency / geography methodology decision</x:v>
      </x:c>
      <x:c r="P22" s="20" t="str">
        <x:v>Decide whether the annual ratio remains an annual control or enters a separately labeled mixed-frequency model.</x:v>
      </x:c>
    </x:row>
    <x:row r="23" ht="78" customHeight="1">
      <x:c r="A23" s="21" t="n">
        <x:v>19</x:v>
      </x:c>
      <x:c r="B23" s="21" t="str">
        <x:v>Population dynamics</x:v>
      </x:c>
      <x:c r="C23" s="21" t="str">
        <x:v>natural_population_change_annual | natural_population_change_quarterly_allocated</x:v>
      </x:c>
      <x:c r="D23" s="21" t="str">
        <x:v>Natural population change</x:v>
      </x:c>
      <x:c r="E23" s="21" t="str">
        <x:v>Natural Population Change (quarterly)</x:v>
      </x:c>
      <x:c r="F23" s="29" t="str">
        <x:v>Have</x:v>
      </x:c>
      <x:c r="G23" s="21" t="str">
        <x:v>Annual observed components; quarterly timing modeled</x:v>
      </x:c>
      <x:c r="H23" s="21" t="str">
        <x:v>derived annual + modeled allocation</x:v>
      </x:c>
      <x:c r="I23" s="21" t="str">
        <x:v>Earlier listed method: CDC WONDER live births and deaths; explicit interpolation/allocation when quarterly timing is needed</x:v>
      </x:c>
      <x:c r="J23" s="21" t="str">
        <x:v>cdc_wonder_natality_county | cdc_wonder_ucd_1999_2020_la_county | cdc_wonder_ucd_2018_2024_county</x:v>
      </x:c>
      <x:c r="K23" s="28" t="str">
        <x:v>Compliant</x:v>
      </x:c>
      <x:c r="L23" s="21" t="str">
        <x:v>births - deaths; quarterly series is equal allocation of the annual total</x:v>
      </x:c>
      <x:c r="M23" s="21" t="str">
        <x:v>18 annual observations, 2007-2024; 72 quarterly allocations</x:v>
      </x:c>
      <x:c r="N23" s="21" t="str">
        <x:v>Quarterly timing is imputed, not observed.</x:v>
      </x:c>
      <x:c r="O23" s="21" t="str">
        <x:v>None</x:v>
      </x:c>
      <x:c r="P23" s="21" t="str">
        <x:v>None; retain the explicit imputation flag.</x:v>
      </x:c>
    </x:row>
    <x:row r="24" ht="78" customHeight="1">
      <x:c r="A24" s="20" t="n">
        <x:v>20</x:v>
      </x:c>
      <x:c r="B24" s="20" t="str">
        <x:v>Migration</x:v>
      </x:c>
      <x:c r="C24" s="20" t="str">
        <x:v>irs_soi_net_migration_exemptions</x:v>
      </x:c>
      <x:c r="D24" s="20" t="str">
        <x:v>IRS net migration exemptions</x:v>
      </x:c>
      <x:c r="E24" s="20" t="str">
        <x:v>Net Immigration / Migration (county)</x:v>
      </x:c>
      <x:c r="F24" s="29" t="str">
        <x:v>Have</x:v>
      </x:c>
      <x:c r="G24" s="20" t="str">
        <x:v>Implemented</x:v>
      </x:c>
      <x:c r="H24" s="20" t="str">
        <x:v>observed annual proxy</x:v>
      </x:c>
      <x:c r="I24" s="20" t="str">
        <x:v>IRS SOI county inflow/outflow migration files</x:v>
      </x:c>
      <x:c r="J24" s="20" t="str">
        <x:v>irs_soi_county_migration</x:v>
      </x:c>
      <x:c r="K24" s="28" t="str">
        <x:v>Compliant</x:v>
      </x:c>
      <x:c r="L24" s="20" t="str">
        <x:v>inflow exemptions - outflow exemptions</x:v>
      </x:c>
      <x:c r="M24" s="20" t="str">
        <x:v>13 LA County annual filing-year intervals, 2011-2023; 2022-2023 is flagged as the IRS enhanced-matching/new-series methodology break</x:v>
      </x:c>
      <x:c r="N24" s="20" t="str">
        <x:v>None</x:v>
      </x:c>
      <x:c r="O24" s="20" t="str">
        <x:v>None</x:v>
      </x:c>
      <x:c r="P24" s="20" t="str">
        <x:v>None</x:v>
      </x:c>
    </x:row>
    <x:row r="25" ht="78" customHeight="1">
      <x:c r="A25" s="21" t="n">
        <x:v>21</x:v>
      </x:c>
      <x:c r="B25" s="21" t="str">
        <x:v>Migration</x:v>
      </x:c>
      <x:c r="C25" s="21" t="str">
        <x:v>irs_soi_net_migration_returns</x:v>
      </x:c>
      <x:c r="D25" s="21" t="str">
        <x:v>IRS net migration returns</x:v>
      </x:c>
      <x:c r="E25" s="21" t="str">
        <x:v>—</x:v>
      </x:c>
      <x:c r="F25" s="29" t="str">
        <x:v>Have</x:v>
      </x:c>
      <x:c r="G25" s="21" t="str">
        <x:v>Implemented</x:v>
      </x:c>
      <x:c r="H25" s="21" t="str">
        <x:v>observed annual proxy</x:v>
      </x:c>
      <x:c r="I25" s="21" t="str">
        <x:v>IRS SOI county inflow/outflow migration files</x:v>
      </x:c>
      <x:c r="J25" s="21" t="str">
        <x:v>irs_soi_county_migration</x:v>
      </x:c>
      <x:c r="K25" s="28" t="str">
        <x:v>Compliant</x:v>
      </x:c>
      <x:c r="L25" s="21" t="str">
        <x:v>inflow returns - outflow returns</x:v>
      </x:c>
      <x:c r="M25" s="21" t="str">
        <x:v>13 LA County annual filing-year intervals, 2011-2023; 2022-2023 is flagged as the IRS enhanced-matching/new-series methodology break</x:v>
      </x:c>
      <x:c r="N25" s="21" t="str">
        <x:v>None</x:v>
      </x:c>
      <x:c r="O25" s="21" t="str">
        <x:v>None</x:v>
      </x:c>
      <x:c r="P25" s="21" t="str">
        <x:v>None</x:v>
      </x:c>
    </x:row>
    <x:row r="26" ht="78" customHeight="1">
      <x:c r="A26" s="20" t="n">
        <x:v>22</x:v>
      </x:c>
      <x:c r="B26" s="20" t="str">
        <x:v>Migration</x:v>
      </x:c>
      <x:c r="C26" s="20" t="str">
        <x:v>irs_soi_net_migration_agi</x:v>
      </x:c>
      <x:c r="D26" s="20" t="str">
        <x:v>IRS net migration AGI</x:v>
      </x:c>
      <x:c r="E26" s="20" t="str">
        <x:v>—</x:v>
      </x:c>
      <x:c r="F26" s="29" t="str">
        <x:v>Have</x:v>
      </x:c>
      <x:c r="G26" s="20" t="str">
        <x:v>Implemented</x:v>
      </x:c>
      <x:c r="H26" s="20" t="str">
        <x:v>observed annual proxy</x:v>
      </x:c>
      <x:c r="I26" s="20" t="str">
        <x:v>IRS SOI county inflow/outflow migration files</x:v>
      </x:c>
      <x:c r="J26" s="20" t="str">
        <x:v>irs_soi_county_migration</x:v>
      </x:c>
      <x:c r="K26" s="28" t="str">
        <x:v>Compliant</x:v>
      </x:c>
      <x:c r="L26" s="20" t="str">
        <x:v>inflow AGI - outflow AGI</x:v>
      </x:c>
      <x:c r="M26" s="20" t="str">
        <x:v>13 LA County annual filing-year intervals, 2011-2023; 2022-2023 is flagged as the IRS enhanced-matching/new-series methodology break</x:v>
      </x:c>
      <x:c r="N26" s="20" t="str">
        <x:v>None</x:v>
      </x:c>
      <x:c r="O26" s="20" t="str">
        <x:v>None</x:v>
      </x:c>
      <x:c r="P26" s="20" t="str">
        <x:v>None</x:v>
      </x:c>
    </x:row>
    <x:row r="27" ht="78" customHeight="1">
      <x:c r="A27" s="21" t="n">
        <x:v>23</x:v>
      </x:c>
      <x:c r="B27" s="21" t="str">
        <x:v>Migration</x:v>
      </x:c>
      <x:c r="C27" s="21" t="str">
        <x:v>net_exemption_rate</x:v>
      </x:c>
      <x:c r="D27" s="21" t="str">
        <x:v>IRS net-exemption rate per 1,000</x:v>
      </x:c>
      <x:c r="E27" s="21" t="str">
        <x:v>—</x:v>
      </x:c>
      <x:c r="F27" s="33" t="str">
        <x:v>Do not have</x:v>
      </x:c>
      <x:c r="G27" s="21" t="str">
        <x:v>Not implemented</x:v>
      </x:c>
      <x:c r="H27" s="21" t="str">
        <x:v>derived annual proxy</x:v>
      </x:c>
      <x:c r="I27" s="21" t="str">
        <x:v>IRS SOI numerator plus a compatible prior-year population denominator; the methodology does not specify the exact population source</x:v>
      </x:c>
      <x:c r="J27" s="21" t="str">
        <x:v>irs_soi_county_migration numerator only</x:v>
      </x:c>
      <x:c r="K27" s="28" t="str">
        <x:v>Compliant</x:v>
      </x:c>
      <x:c r="L27" s="21" t="str">
        <x:v>net_exemptions / prior_year_population × 1,000</x:v>
      </x:c>
      <x:c r="M27" s="21" t="str">
        <x:v>Numerator: 13 LA County annual intervals, 2011-2023; denominator absent</x:v>
      </x:c>
      <x:c r="N27" s="21" t="str">
        <x:v>The compatible prior-year population denominator and its methodology-approved exact source are missing.</x:v>
      </x:c>
      <x:c r="O27" s="21" t="str">
        <x:v>Source identification (listed sources only)</x:v>
      </x:c>
      <x:c r="P27" s="21" t="str">
        <x:v>Approve the exact population series within the methodology's stated denominator requirement, acquire matched years, then calculate the annual rate.</x:v>
      </x:c>
    </x:row>
    <x:row r="28" ht="78" customHeight="1">
      <x:c r="A28" s="20" t="n">
        <x:v>24</x:v>
      </x:c>
      <x:c r="B28" s="20" t="str">
        <x:v>Homelessness</x:v>
      </x:c>
      <x:c r="C28" s="20" t="str">
        <x:v>hud_pit_overall_homeless_annual | hud_pit_sheltered_homeless_annual | hud_pit_unsheltered_homeless_annual</x:v>
      </x:c>
      <x:c r="D28" s="20" t="str">
        <x:v>Sheltered versus unsheltered homelessness</x:v>
      </x:c>
      <x:c r="E28" s="20" t="str">
        <x:v>Sheltered vs Unsheltered Homelessness (high frequency)</x:v>
      </x:c>
      <x:c r="F28" s="25" t="str">
        <x:v>Partial</x:v>
      </x:c>
      <x:c r="G28" s="20" t="str">
        <x:v>Annual PIT source through 2025 implemented; high frequency unavailable</x:v>
      </x:c>
      <x:c r="H28" s="20" t="str">
        <x:v>observed annual target</x:v>
      </x:c>
      <x:c r="I28" s="20" t="str">
        <x:v>Earlier listed workaround: annual HUD PIT/CoC data; no credible listed quarterly alternative</x:v>
      </x:c>
      <x:c r="J28" s="20" t="str">
        <x:v>hud_pit_coc_2007_2025</x:v>
      </x:c>
      <x:c r="K28" s="28" t="str">
        <x:v>Compliant</x:v>
      </x:c>
      <x:c r="L28" s="20" t="str">
        <x:v>Preserve native CoC values; sum only the explicit CA-600/CA-606/CA-607/CA-612 project composite when all four analytical values are complete</x:v>
      </x:c>
      <x:c r="M28" s="20" t="str">
        <x:v>Official workbook four-CoC composite, 2007-2025: sheltered 18/19 non-null; overall 13/19; unsheltered 13/19 after row-level HUD Count Types suppression</x:v>
      </x:c>
      <x:c r="N28" s="20" t="str">
        <x:v>The official source is annual and the composite is not Los Angeles County. Sheltered-only, partial-unsheltered, and no-count rows remain analytically incomplete; no listed credible high-frequency series exists.</x:v>
      </x:c>
      <x:c r="O28" s="20" t="str">
        <x:v>Frequency/geography limitation</x:v>
      </x:c>
      <x:c r="P28" s="20" t="str">
        <x:v>No credential is needed. Use the annual CoC/composite controls as labeled and leave the high-frequency target unsatisfied unless the methodology names another source.</x:v>
      </x:c>
    </x:row>
    <x:row r="29" ht="78" customHeight="1">
      <x:c r="A29" s="21" t="n">
        <x:v>25</x:v>
      </x:c>
      <x:c r="B29" s="21" t="str">
        <x:v>Construction supply</x:v>
      </x:c>
      <x:c r="C29" s="21" t="str">
        <x:v>permits_1_unit</x:v>
      </x:c>
      <x:c r="D29" s="21" t="str">
        <x:v>One-unit housing permits / authorizations</x:v>
      </x:c>
      <x:c r="E29" s="21" t="str">
        <x:v>Single-Family Housing Starts (permits)</x:v>
      </x:c>
      <x:c r="F29" s="29" t="str">
        <x:v>Have</x:v>
      </x:c>
      <x:c r="G29" s="21" t="str">
        <x:v>Implemented</x:v>
      </x:c>
      <x:c r="H29" s="21" t="str">
        <x:v>observed authorization proxy</x:v>
      </x:c>
      <x:c r="I29" s="21" t="str">
        <x:v>Census Building Permits Survey</x:v>
      </x:c>
      <x:c r="J29" s="21" t="str">
        <x:v>census_bps_county | census_bps_state | census_bps_county_annual_final</x:v>
      </x:c>
      <x:c r="K29" s="28" t="str">
        <x:v>Compliant</x:v>
      </x:c>
      <x:c r="L29" s="21" t="str">
        <x:v>Count of housing units authorized in one-unit structures</x:v>
      </x:c>
      <x:c r="M29" s="21" t="str">
        <x:v>318 LA County months and 318 California months, 2000-01 through 2026-06 after the configured June refresh; 36 LA County final-annual observations, 1990-2025</x:v>
      </x:c>
      <x:c r="N29" s="21" t="str">
        <x:v>Monthly and final-annual vintages remain intentionally separate.</x:v>
      </x:c>
      <x:c r="O29" s="21" t="str">
        <x:v>None</x:v>
      </x:c>
      <x:c r="P29" s="21" t="str">
        <x:v>None; preserve preliminary/final and annual/monthly distinctions.</x:v>
      </x:c>
    </x:row>
    <x:row r="30" ht="78" customHeight="1">
      <x:c r="A30" s="20" t="n">
        <x:v>26</x:v>
      </x:c>
      <x:c r="B30" s="20" t="str">
        <x:v>Construction supply</x:v>
      </x:c>
      <x:c r="C30" s="20" t="str">
        <x:v>permits_1_unit_per_1000_housing_units</x:v>
      </x:c>
      <x:c r="D30" s="20" t="str">
        <x:v>One-unit permits per 1,000 housing units</x:v>
      </x:c>
      <x:c r="E30" s="20" t="str">
        <x:v>—</x:v>
      </x:c>
      <x:c r="F30" s="33" t="str">
        <x:v>Do not have</x:v>
      </x:c>
      <x:c r="G30" s="20" t="str">
        <x:v>Not implemented</x:v>
      </x:c>
      <x:c r="H30" s="20" t="str">
        <x:v>derived proxy</x:v>
      </x:c>
      <x:c r="I30" s="20" t="str">
        <x:v>Census BPS numerator plus lagged housing units; the methodology does not specify the denominator source</x:v>
      </x:c>
      <x:c r="J30" s="20" t="str">
        <x:v>census_bps_county | census_bps_state numerator only</x:v>
      </x:c>
      <x:c r="K30" s="28" t="str">
        <x:v>Compliant</x:v>
      </x:c>
      <x:c r="L30" s="20" t="str">
        <x:v>permits_1_unit / lagged_housing_units × 1,000</x:v>
      </x:c>
      <x:c r="M30" s="20" t="str">
        <x:v>Numerator: 318 LA County months through 2026-06 after the configured June refresh; ACS B25001 input has 15 annual LA County vintages for 2010-2024 but is not designated as this target's denominator</x:v>
      </x:c>
      <x:c r="N30" s="20" t="str">
        <x:v>The methodology does not name the exact lagged housing-stock source or approve the annual/monthly pairing.</x:v>
      </x:c>
      <x:c r="O30" s="20" t="str">
        <x:v>Source identification (listed sources only)</x:v>
      </x:c>
      <x:c r="P30" s="20" t="str">
        <x:v>Obtain methodology approval for the exact denominator source, archive compatible historical vintages, then calculate the rate.</x:v>
      </x:c>
    </x:row>
    <x:row r="31" ht="78" customHeight="1">
      <x:c r="A31" s="21" t="n">
        <x:v>27</x:v>
      </x:c>
      <x:c r="B31" s="21" t="str">
        <x:v>Valuation</x:v>
      </x:c>
      <x:c r="C31" s="21" t="str">
        <x:v>price_to_rent_ratio_zillow</x:v>
      </x:c>
      <x:c r="D31" s="21" t="str">
        <x:v>Zillow price-to-rent ratio</x:v>
      </x:c>
      <x:c r="E31" s="21" t="str">
        <x:v>price_to_rent_ratio; prior tracker said FHFA/ZORI</x:v>
      </x:c>
      <x:c r="F31" s="29" t="str">
        <x:v>Have</x:v>
      </x:c>
      <x:c r="G31" s="21" t="str">
        <x:v>Canonical county and ZIP fields implemented</x:v>
      </x:c>
      <x:c r="H31" s="21" t="str">
        <x:v>derived observed</x:v>
      </x:c>
      <x:c r="I31" s="21" t="str">
        <x:v>Zillow ZHVI and Zillow ZORI at matched geography/month; FHFA/ZORI only as a separately named, rebased future version</x:v>
      </x:c>
      <x:c r="J31" s="21" t="str">
        <x:v>zillow_county_zhvi | zillow_county_zori_smoothed_sa | zillow_zip_zhvi | zillow_zip_zori_smoothed_sa</x:v>
      </x:c>
      <x:c r="K31" s="28" t="str">
        <x:v>Compliant</x:v>
      </x:c>
      <x:c r="L31" s="21" t="str">
        <x:v>ZHVI / (12 × ZORI), requiring positive matched components</x:v>
      </x:c>
      <x:c r="M31" s="21" t="str">
        <x:v>137 LA County months and 17,866 postal-ZIP months with positive matched ZHVI/ZORI, 2015-01 through 2026-05</x:v>
      </x:c>
      <x:c r="N31" s="21" t="str">
        <x:v>ZIP values inherit Zillow source-geography and monthly missingness; no county values are used to fill them.</x:v>
      </x:c>
      <x:c r="O31" s="21" t="str">
        <x:v>None</x:v>
      </x:c>
      <x:c r="P31" s="21" t="str">
        <x:v>None; preserve matched-month positivity and source gaps.</x:v>
      </x:c>
    </x:row>
    <x:row r="32" ht="78" customHeight="1">
      <x:c r="A32" s="20" t="n">
        <x:v>28</x:v>
      </x:c>
      <x:c r="B32" s="20" t="str">
        <x:v>Valuation</x:v>
      </x:c>
      <x:c r="C32" s="20" t="str">
        <x:v>implied_gross_rent_yield</x:v>
      </x:c>
      <x:c r="D32" s="20" t="str">
        <x:v>Implied gross rent yield</x:v>
      </x:c>
      <x:c r="E32" s="20" t="str">
        <x:v>—</x:v>
      </x:c>
      <x:c r="F32" s="29" t="str">
        <x:v>Have</x:v>
      </x:c>
      <x:c r="G32" s="20" t="str">
        <x:v>County and ZIP fields implemented</x:v>
      </x:c>
      <x:c r="H32" s="20" t="str">
        <x:v>derived observed</x:v>
      </x:c>
      <x:c r="I32" s="20" t="str">
        <x:v>Zillow ZHVI and Zillow ZORI at matched geography/month</x:v>
      </x:c>
      <x:c r="J32" s="20" t="str">
        <x:v>Zillow county and ZIP ZHVI/ZORI inputs</x:v>
      </x:c>
      <x:c r="K32" s="28" t="str">
        <x:v>Compliant</x:v>
      </x:c>
      <x:c r="L32" s="20" t="str">
        <x:v>12 × ZORI / ZHVI</x:v>
      </x:c>
      <x:c r="M32" s="20" t="str">
        <x:v>137 LA County months and 17,866 postal-ZIP months with positive matched ZHVI/ZORI</x:v>
      </x:c>
      <x:c r="N32" s="20" t="str">
        <x:v>ZIP values inherit Zillow source-geography and monthly missingness.</x:v>
      </x:c>
      <x:c r="O32" s="20" t="str">
        <x:v>None</x:v>
      </x:c>
      <x:c r="P32" s="20" t="str">
        <x:v>None; preserve source gaps and the gross-yield label.</x:v>
      </x:c>
    </x:row>
    <x:row r="33" ht="78" customHeight="1">
      <x:c r="A33" s="21" t="n">
        <x:v>29</x:v>
      </x:c>
      <x:c r="B33" s="21" t="str">
        <x:v>Rental supply</x:v>
      </x:c>
      <x:c r="C33" s="21" t="str">
        <x:v>rental_listing_inventory_monthly</x:v>
      </x:c>
      <x:c r="D33" s="21" t="str">
        <x:v>True monthly active rental-listing inventory</x:v>
      </x:c>
      <x:c r="E33" s="21" t="str">
        <x:v>Rental Inventory</x:v>
      </x:c>
      <x:c r="F33" s="33" t="str">
        <x:v>Do not have</x:v>
      </x:c>
      <x:c r="G33" s="21" t="str">
        <x:v>Intentionally missing</x:v>
      </x:c>
      <x:c r="H33" s="21" t="str">
        <x:v>observed target</x:v>
      </x:c>
      <x:c r="I33" s="21" t="str">
        <x:v>No verified source is listed for this target in the governing methodology</x:v>
      </x:c>
      <x:c r="J33" s="21" t="str">
        <x:v>None</x:v>
      </x:c>
      <x:c r="K33" s="35" t="str">
        <x:v>Not applicable</x:v>
      </x:c>
      <x:c r="L33" s="21" t="str">
        <x:v>None</x:v>
      </x:c>
      <x:c r="M33" s="21" t="str">
        <x:v>None</x:v>
      </x:c>
      <x:c r="N33" s="21" t="str">
        <x:v>The governing methodology names no approved, integrable historical active-rental-listing source.</x:v>
      </x:c>
      <x:c r="O33" s="21" t="str">
        <x:v>Source identification (listed sources only)</x:v>
      </x:c>
      <x:c r="P33" s="21" t="str">
        <x:v>Leave the variable missing unless the methodology itself is revised to name and approve a qualifying source.</x:v>
      </x:c>
    </x:row>
    <x:row r="34" ht="78" customHeight="1">
      <x:c r="A34" s="20" t="n">
        <x:v>30</x:v>
      </x:c>
      <x:c r="B34" s="20" t="str">
        <x:v>Rental supply</x:v>
      </x:c>
      <x:c r="C34" s="20" t="str">
        <x:v>acs_renter_occupied_units | acs_renter_occupied_units_moe</x:v>
      </x:c>
      <x:c r="D34" s="20" t="str">
        <x:v>ACS renter-occupied units</x:v>
      </x:c>
      <x:c r="E34" s="20" t="str">
        <x:v>—</x:v>
      </x:c>
      <x:c r="F34" s="29" t="str">
        <x:v>Have</x:v>
      </x:c>
      <x:c r="G34" s="20" t="str">
        <x:v>Implemented for 2010-2024 county and 2011-2024 ZCTA</x:v>
      </x:c>
      <x:c r="H34" s="20" t="str">
        <x:v>observed survey estimate</x:v>
      </x:c>
      <x:c r="I34" s="20" t="str">
        <x:v>Census ACS B25003</x:v>
      </x:c>
      <x:c r="J34" s="20" t="str">
        <x:v>census_acs_5year_b25003</x:v>
      </x:c>
      <x:c r="K34" s="28" t="str">
        <x:v>Compliant</x:v>
      </x:c>
      <x:c r="L34" s="20" t="str">
        <x:v>Published renter-occupied unit estimate and margin of error</x:v>
      </x:c>
      <x:c r="M34" s="20" t="str">
        <x:v>3,851 non-null facts per field: 15 LA County vintages (2010-2024) and 3,836 ZCTA-vintage rows (274 configured ZCTAs, 2011-2024)</x:v>
      </x:c>
      <x:c r="N34" s="20" t="str">
        <x:v>The official 2010 ACS API does not publish ZCTA geography; county history is complete.</x:v>
      </x:c>
      <x:c r="O34" s="20" t="str">
        <x:v>Provider vintage/geography limitation</x:v>
      </x:c>
      <x:c r="P34" s="20" t="str">
        <x:v>None for active coverage; preserve the explicit 2010 ZCTA gap.</x:v>
      </x:c>
    </x:row>
    <x:row r="35" ht="78" customHeight="1">
      <x:c r="A35" s="21" t="n">
        <x:v>31</x:v>
      </x:c>
      <x:c r="B35" s="21" t="str">
        <x:v>Rental supply</x:v>
      </x:c>
      <x:c r="C35" s="21" t="str">
        <x:v>acs_for_rent_vacant_units | acs_for_rent_vacant_units_moe</x:v>
      </x:c>
      <x:c r="D35" s="21" t="str">
        <x:v>ACS for-rent vacant units</x:v>
      </x:c>
      <x:c r="E35" s="21" t="str">
        <x:v>—</x:v>
      </x:c>
      <x:c r="F35" s="29" t="str">
        <x:v>Have</x:v>
      </x:c>
      <x:c r="G35" s="21" t="str">
        <x:v>Implemented for 2010-2024 county and 2011-2024 ZCTA</x:v>
      </x:c>
      <x:c r="H35" s="21" t="str">
        <x:v>observed survey estimate</x:v>
      </x:c>
      <x:c r="I35" s="21" t="str">
        <x:v>Census ACS B25004</x:v>
      </x:c>
      <x:c r="J35" s="21" t="str">
        <x:v>census_acs_5year_b25004</x:v>
      </x:c>
      <x:c r="K35" s="28" t="str">
        <x:v>Compliant</x:v>
      </x:c>
      <x:c r="L35" s="21" t="str">
        <x:v>Published 'For rent' vacant unit estimate and margin of error</x:v>
      </x:c>
      <x:c r="M35" s="21" t="str">
        <x:v>3,851 non-null facts per field: 15 LA County vintages (2010-2024) and 3,836 ZCTA-vintage rows (274 configured ZCTAs, 2011-2024)</x:v>
      </x:c>
      <x:c r="N35" s="21" t="str">
        <x:v>The official 2010 ACS API does not publish ZCTA geography; county history is complete.</x:v>
      </x:c>
      <x:c r="O35" s="21" t="str">
        <x:v>Provider vintage/geography limitation</x:v>
      </x:c>
      <x:c r="P35" s="21" t="str">
        <x:v>None for active coverage; preserve the explicit 2010 ZCTA gap.</x:v>
      </x:c>
    </x:row>
    <x:row r="36" ht="78" customHeight="1">
      <x:c r="A36" s="20" t="n">
        <x:v>32</x:v>
      </x:c>
      <x:c r="B36" s="20" t="str">
        <x:v>Rental supply</x:v>
      </x:c>
      <x:c r="C36" s="20" t="str">
        <x:v>acs_rental_availability_rate</x:v>
      </x:c>
      <x:c r="D36" s="20" t="str">
        <x:v>ACS annual rental-availability rate</x:v>
      </x:c>
      <x:c r="E36" s="20" t="str">
        <x:v>—</x:v>
      </x:c>
      <x:c r="F36" s="29" t="str">
        <x:v>Have</x:v>
      </x:c>
      <x:c r="G36" s="20" t="str">
        <x:v>Implemented for LA County 2010-2024</x:v>
      </x:c>
      <x:c r="H36" s="20" t="str">
        <x:v>derived survey estimate</x:v>
      </x:c>
      <x:c r="I36" s="20" t="str">
        <x:v>Census ACS B25004 and B25003</x:v>
      </x:c>
      <x:c r="J36" s="20" t="str">
        <x:v>census_acs_5year_b25004 | census_acs_5year_b25003</x:v>
      </x:c>
      <x:c r="K36" s="28" t="str">
        <x:v>Compliant</x:v>
      </x:c>
      <x:c r="L36" s="20" t="str">
        <x:v>for_rent_vacant / (renter_occupied + for_rent_vacant)</x:v>
      </x:c>
      <x:c r="M36" s="20" t="str">
        <x:v>15 non-null LA County rates, 2010-2024; 2024 = 0.0402385507 and all 15 quality flags are 'ok'</x:v>
      </x:c>
      <x:c r="N36" s="20" t="str">
        <x:v>The constructed rate is county-only and annual; it does not supply ZCTA rates or monthly rental listings.</x:v>
      </x:c>
      <x:c r="O36" s="20" t="str">
        <x:v>Frequency / geography qualification</x:v>
      </x:c>
      <x:c r="P36" s="20" t="str">
        <x:v>None for the annual county proxy; keep separate from USPS vacancy and true listing inventory.</x:v>
      </x:c>
    </x:row>
    <x:row r="37" ht="78" customHeight="1">
      <x:c r="A37" s="21" t="n">
        <x:v>33</x:v>
      </x:c>
      <x:c r="B37" s="21" t="str">
        <x:v>Rental supply</x:v>
      </x:c>
      <x:c r="C37" s="21" t="str">
        <x:v>usps_* residential vacancy/address variables</x:v>
      </x:c>
      <x:c r="D37" s="21" t="str">
        <x:v>HUD-USPS quarterly residential vacancy proxy</x:v>
      </x:c>
      <x:c r="E37" s="21" t="str">
        <x:v>—</x:v>
      </x:c>
      <x:c r="F37" s="29" t="str">
        <x:v>Have</x:v>
      </x:c>
      <x:c r="G37" s="21" t="str">
        <x:v>Implemented</x:v>
      </x:c>
      <x:c r="H37" s="21" t="str">
        <x:v>administrative proxy</x:v>
      </x:c>
      <x:c r="I37" s="21" t="str">
        <x:v>HUD-USPS Vacancy Data</x:v>
      </x:c>
      <x:c r="J37" s="21" t="str">
        <x:v>hud_usps_ncwm_quarterly</x:v>
      </x:c>
      <x:c r="K37" s="28" t="str">
        <x:v>Compliant</x:v>
      </x:c>
      <x:c r="L37" s="21" t="str">
        <x:v>usps_residential_vacancy_rate = (short-term vacant + long-term vacant residential addresses) / total residential addresses; no-stat remains separate</x:v>
      </x:c>
      <x:c r="M37" s="21" t="str">
        <x:v>2008 Q1-2026 Q1; 58 CA counties, 2,494 LA tracts, 477 modeled postal-ZIP county-parts; latest LA County rate 1.21698%</x:v>
      </x:c>
      <x:c r="N37" s="21" t="str">
        <x:v>Detailed tract and modeled ZIP-part outputs are restricted; rate components have source/denominator missingness in some rows.</x:v>
      </x:c>
      <x:c r="O37" s="21" t="str">
        <x:v>None</x:v>
      </x:c>
      <x:c r="P37" s="21" t="str">
        <x:v>None for implementation; preserve restrictions, missingness, and proxy labeling.</x:v>
      </x:c>
    </x:row>
    <x:row r="38" ht="78" customHeight="1">
      <x:c r="A38" s="20" t="n">
        <x:v>34</x:v>
      </x:c>
      <x:c r="B38" s="20" t="str">
        <x:v>Homeowners</x:v>
      </x:c>
      <x:c r="C38" s="20" t="str">
        <x:v>fhfa_hpi_*</x:v>
      </x:c>
      <x:c r="D38" s="20" t="str">
        <x:v>Home price index</x:v>
      </x:c>
      <x:c r="E38" s="20" t="str">
        <x:v>—</x:v>
      </x:c>
      <x:c r="F38" s="29" t="str">
        <x:v>Have</x:v>
      </x:c>
      <x:c r="G38" s="20" t="str">
        <x:v>Implemented</x:v>
      </x:c>
      <x:c r="H38" s="20" t="str">
        <x:v>observed index</x:v>
      </x:c>
      <x:c r="I38" s="20" t="str">
        <x:v>FHFA HPI</x:v>
      </x:c>
      <x:c r="J38" s="20" t="str">
        <x:v>fhfa_hpi_state_purchase_only | fhfa_hpi_metro_purchase_only | fhfa_hpi_county_annual</x:v>
      </x:c>
      <x:c r="K38" s="28" t="str">
        <x:v>Compliant</x:v>
      </x:c>
      <x:c r="L38" s="20" t="str">
        <x:v>—</x:v>
      </x:c>
      <x:c r="M38" s="20" t="str">
        <x:v>CA and LA metro quarterly 1991 Q1-2026 Q1; LA County annual 1975-2025</x:v>
      </x:c>
      <x:c r="N38" s="20" t="str">
        <x:v>None</x:v>
      </x:c>
      <x:c r="O38" s="20" t="str">
        <x:v>None</x:v>
      </x:c>
      <x:c r="P38" s="20" t="str">
        <x:v>None</x:v>
      </x:c>
    </x:row>
    <x:row r="39" ht="78" customHeight="1">
      <x:c r="A39" s="21" t="n">
        <x:v>35</x:v>
      </x:c>
      <x:c r="B39" s="21" t="str">
        <x:v>Homeowners</x:v>
      </x:c>
      <x:c r="C39" s="21" t="str">
        <x:v>median_sale_price | redfin_zip_median_sale_price_nsa_rolling_3m</x:v>
      </x:c>
      <x:c r="D39" s="21" t="str">
        <x:v>Median sale price</x:v>
      </x:c>
      <x:c r="E39" s="21" t="str">
        <x:v>—</x:v>
      </x:c>
      <x:c r="F39" s="29" t="str">
        <x:v>Have</x:v>
      </x:c>
      <x:c r="G39" s="21" t="str">
        <x:v>Implemented</x:v>
      </x:c>
      <x:c r="H39" s="21" t="str">
        <x:v>observed market metric</x:v>
      </x:c>
      <x:c r="I39" s="21" t="str">
        <x:v>Redfin Data Center</x:v>
      </x:c>
      <x:c r="J39" s="21" t="str">
        <x:v>redfin_county_monthly | redfin_zip_monthly</x:v>
      </x:c>
      <x:c r="K39" s="28" t="str">
        <x:v>Compliant</x:v>
      </x:c>
      <x:c r="L39" s="21" t="str">
        <x:v>—</x:v>
      </x:c>
      <x:c r="M39" s="21" t="str">
        <x:v>LA County monthly 2012-01-2026-05; postal-ZIP rolling-three-month series 2019-06-2026-05</x:v>
      </x:c>
      <x:c r="N39" s="21" t="str">
        <x:v>Some ZIP observations are provider-null; each ZIP point is an overlapping rolling-three-month observation.</x:v>
      </x:c>
      <x:c r="O39" s="21" t="str">
        <x:v>None</x:v>
      </x:c>
      <x:c r="P39" s="21" t="str">
        <x:v>None; preserve provider nulls and rolling-window labels.</x:v>
      </x:c>
    </x:row>
    <x:row r="40" ht="78" customHeight="1">
      <x:c r="A40" s="20" t="n">
        <x:v>36</x:v>
      </x:c>
      <x:c r="B40" s="20" t="str">
        <x:v>Homeowners</x:v>
      </x:c>
      <x:c r="C40" s="20" t="str">
        <x:v>active_inventory | redfin_zip_active_listings_rolling_3m</x:v>
      </x:c>
      <x:c r="D40" s="20" t="str">
        <x:v>Existing homes for sale / active listings</x:v>
      </x:c>
      <x:c r="E40" s="20" t="str">
        <x:v>—</x:v>
      </x:c>
      <x:c r="F40" s="29" t="str">
        <x:v>Have</x:v>
      </x:c>
      <x:c r="G40" s="20" t="str">
        <x:v>Implemented</x:v>
      </x:c>
      <x:c r="H40" s="20" t="str">
        <x:v>observed for-sale metric</x:v>
      </x:c>
      <x:c r="I40" s="20" t="str">
        <x:v>Redfin Data Center</x:v>
      </x:c>
      <x:c r="J40" s="20" t="str">
        <x:v>redfin_county_monthly | redfin_zip_monthly</x:v>
      </x:c>
      <x:c r="K40" s="28" t="str">
        <x:v>Compliant</x:v>
      </x:c>
      <x:c r="L40" s="20" t="str">
        <x:v>—</x:v>
      </x:c>
      <x:c r="M40" s="20" t="str">
        <x:v>173 LA County months, 2012-01-2026-05; 23,008 non-null ZIP rolling observations, 2019-06-2026-05</x:v>
      </x:c>
      <x:c r="N40" s="20" t="str">
        <x:v>None</x:v>
      </x:c>
      <x:c r="O40" s="20" t="str">
        <x:v>None</x:v>
      </x:c>
      <x:c r="P40" s="20" t="str">
        <x:v>None</x:v>
      </x:c>
    </x:row>
    <x:row r="41" ht="78" customHeight="1">
      <x:c r="A41" s="21" t="n">
        <x:v>37</x:v>
      </x:c>
      <x:c r="B41" s="21" t="str">
        <x:v>Homeowners</x:v>
      </x:c>
      <x:c r="C41" s="21" t="str">
        <x:v>months_of_supply</x:v>
      </x:c>
      <x:c r="D41" s="21" t="str">
        <x:v>Months of supply</x:v>
      </x:c>
      <x:c r="E41" s="21" t="str">
        <x:v>—</x:v>
      </x:c>
      <x:c r="F41" s="29" t="str">
        <x:v>Have</x:v>
      </x:c>
      <x:c r="G41" s="21" t="str">
        <x:v>Implemented</x:v>
      </x:c>
      <x:c r="H41" s="21" t="str">
        <x:v>observed market metric</x:v>
      </x:c>
      <x:c r="I41" s="21" t="str">
        <x:v>Redfin Data Center</x:v>
      </x:c>
      <x:c r="J41" s="21" t="str">
        <x:v>redfin_county_monthly</x:v>
      </x:c>
      <x:c r="K41" s="28" t="str">
        <x:v>Compliant</x:v>
      </x:c>
      <x:c r="L41" s="21" t="str">
        <x:v>—</x:v>
      </x:c>
      <x:c r="M41" s="21" t="str">
        <x:v>173 LA County months, 2012-01 through 2026-05</x:v>
      </x:c>
      <x:c r="N41" s="21" t="str">
        <x:v>None</x:v>
      </x:c>
      <x:c r="O41" s="21" t="str">
        <x:v>None</x:v>
      </x:c>
      <x:c r="P41" s="21" t="str">
        <x:v>None</x:v>
      </x:c>
    </x:row>
    <x:row r="42" ht="78" customHeight="1">
      <x:c r="A42" s="20" t="n">
        <x:v>38</x:v>
      </x:c>
      <x:c r="B42" s="20" t="str">
        <x:v>Homeowners</x:v>
      </x:c>
      <x:c r="C42" s="20" t="str">
        <x:v>new_listings | redfin_zip_new_listings_rolling_3m</x:v>
      </x:c>
      <x:c r="D42" s="20" t="str">
        <x:v>New for-sale listings</x:v>
      </x:c>
      <x:c r="E42" s="20" t="str">
        <x:v>—</x:v>
      </x:c>
      <x:c r="F42" s="29" t="str">
        <x:v>Have</x:v>
      </x:c>
      <x:c r="G42" s="20" t="str">
        <x:v>Implemented</x:v>
      </x:c>
      <x:c r="H42" s="20" t="str">
        <x:v>observed for-sale metric</x:v>
      </x:c>
      <x:c r="I42" s="20" t="str">
        <x:v>Redfin Data Center</x:v>
      </x:c>
      <x:c r="J42" s="20" t="str">
        <x:v>redfin_county_monthly | redfin_zip_monthly</x:v>
      </x:c>
      <x:c r="K42" s="28" t="str">
        <x:v>Compliant</x:v>
      </x:c>
      <x:c r="L42" s="20" t="str">
        <x:v>—</x:v>
      </x:c>
      <x:c r="M42" s="20" t="str">
        <x:v>173 county months; 22,978 of 23,009 ZIP rolling observations non-null</x:v>
      </x:c>
      <x:c r="N42" s="20" t="str">
        <x:v>31 ZIP rolling observations are provider-null.</x:v>
      </x:c>
      <x:c r="O42" s="20" t="str">
        <x:v>None</x:v>
      </x:c>
      <x:c r="P42" s="20" t="str">
        <x:v>None; preserve nulls and rolling-window labels.</x:v>
      </x:c>
    </x:row>
    <x:row r="43" ht="78" customHeight="1">
      <x:c r="A43" s="21" t="n">
        <x:v>39</x:v>
      </x:c>
      <x:c r="B43" s="21" t="str">
        <x:v>Homeowners</x:v>
      </x:c>
      <x:c r="C43" s="21" t="str">
        <x:v>homes_sold | redfin_zip_homes_sold_rolling_3m</x:v>
      </x:c>
      <x:c r="D43" s="21" t="str">
        <x:v>Homes sold / sales volume</x:v>
      </x:c>
      <x:c r="E43" s="21" t="str">
        <x:v>—</x:v>
      </x:c>
      <x:c r="F43" s="29" t="str">
        <x:v>Have</x:v>
      </x:c>
      <x:c r="G43" s="21" t="str">
        <x:v>Implemented</x:v>
      </x:c>
      <x:c r="H43" s="21" t="str">
        <x:v>observed market metric</x:v>
      </x:c>
      <x:c r="I43" s="21" t="str">
        <x:v>Redfin Data Center</x:v>
      </x:c>
      <x:c r="J43" s="21" t="str">
        <x:v>redfin_county_monthly | redfin_zip_monthly</x:v>
      </x:c>
      <x:c r="K43" s="28" t="str">
        <x:v>Compliant</x:v>
      </x:c>
      <x:c r="L43" s="21" t="str">
        <x:v>—</x:v>
      </x:c>
      <x:c r="M43" s="21" t="str">
        <x:v>173 county months; 22,946 of 23,009 ZIP rolling observations non-null</x:v>
      </x:c>
      <x:c r="N43" s="21" t="str">
        <x:v>63 ZIP rolling observations are provider-null.</x:v>
      </x:c>
      <x:c r="O43" s="21" t="str">
        <x:v>None</x:v>
      </x:c>
      <x:c r="P43" s="21" t="str">
        <x:v>None; preserve nulls and rolling-window labels.</x:v>
      </x:c>
    </x:row>
    <x:row r="44" ht="78" customHeight="1">
      <x:c r="A44" s="20" t="n">
        <x:v>40</x:v>
      </x:c>
      <x:c r="B44" s="20" t="str">
        <x:v>Homeowners</x:v>
      </x:c>
      <x:c r="C44" s="20" t="str">
        <x:v>mortgage_rate_30y_weekly | mortgage_rate_30y_monthly_*</x:v>
      </x:c>
      <x:c r="D44" s="20" t="str">
        <x:v>Mortgage rates (30-year fixed)</x:v>
      </x:c>
      <x:c r="E44" s="20" t="str">
        <x:v>—</x:v>
      </x:c>
      <x:c r="F44" s="29" t="str">
        <x:v>Have</x:v>
      </x:c>
      <x:c r="G44" s="20" t="str">
        <x:v>Implemented</x:v>
      </x:c>
      <x:c r="H44" s="20" t="str">
        <x:v>observed rate + derived monthly summaries</x:v>
      </x:c>
      <x:c r="I44" s="20" t="str">
        <x:v>Freddie Mac PMMS</x:v>
      </x:c>
      <x:c r="J44" s="20" t="str">
        <x:v>freddie_mac_pmms</x:v>
      </x:c>
      <x:c r="K44" s="28" t="str">
        <x:v>Compliant</x:v>
      </x:c>
      <x:c r="L44" s="20" t="str">
        <x:v>—</x:v>
      </x:c>
      <x:c r="M44" s="20" t="str">
        <x:v>Weekly 1971-04-02 through 2026-06-25; monthly derivatives through 2026-06</x:v>
      </x:c>
      <x:c r="N44" s="20" t="str">
        <x:v>None</x:v>
      </x:c>
      <x:c r="O44" s="20" t="str">
        <x:v>None</x:v>
      </x:c>
      <x:c r="P44" s="20" t="str">
        <x:v>None</x:v>
      </x:c>
    </x:row>
    <x:row r="45" ht="78" customHeight="1">
      <x:c r="A45" s="21" t="n">
        <x:v>41</x:v>
      </x:c>
      <x:c r="B45" s="21" t="str">
        <x:v>Renters</x:v>
      </x:c>
      <x:c r="C45" s="21" t="str">
        <x:v>zori_smoothed_sa</x:v>
      </x:c>
      <x:c r="D45" s="21" t="str">
        <x:v>Market rent index (ZORI)</x:v>
      </x:c>
      <x:c r="E45" s="21" t="str">
        <x:v>—</x:v>
      </x:c>
      <x:c r="F45" s="29" t="str">
        <x:v>Have</x:v>
      </x:c>
      <x:c r="G45" s="21" t="str">
        <x:v>Implemented with ZIP gaps</x:v>
      </x:c>
      <x:c r="H45" s="21" t="str">
        <x:v>observed asking-rent index</x:v>
      </x:c>
      <x:c r="I45" s="21" t="str">
        <x:v>Zillow Research ZORI, smoothed and seasonally adjusted, all homes plus multifamily</x:v>
      </x:c>
      <x:c r="J45" s="21" t="str">
        <x:v>zillow_county_zori_smoothed_sa | zillow_zip_zori_smoothed_sa</x:v>
      </x:c>
      <x:c r="K45" s="28" t="str">
        <x:v>Compliant</x:v>
      </x:c>
      <x:c r="L45" s="21" t="str">
        <x:v>—</x:v>
      </x:c>
      <x:c r="M45" s="21" t="str">
        <x:v>County 137/137 months; ZIP 17,866 non-null of 33,565 source rows across 245 source ZIPs, 2015-01-2026-05</x:v>
      </x:c>
      <x:c r="N45" s="21" t="str">
        <x:v>Twenty-nine configured ZIPs have no source geography row and many ZIP-month values are null.</x:v>
      </x:c>
      <x:c r="O45" s="21" t="str">
        <x:v>None</x:v>
      </x:c>
      <x:c r="P45" s="21" t="str">
        <x:v>None for county; preserve ZIP source gaps and coverage flags.</x:v>
      </x:c>
    </x:row>
    <x:row r="46" ht="78" customHeight="1">
      <x:c r="A46" s="20" t="n">
        <x:v>42</x:v>
      </x:c>
      <x:c r="B46" s="20" t="str">
        <x:v>Renters</x:v>
      </x:c>
      <x:c r="C46" s="20" t="str">
        <x:v>zori_growth_mom | zori_growth_yoy</x:v>
      </x:c>
      <x:c r="D46" s="20" t="str">
        <x:v>Rent growth</x:v>
      </x:c>
      <x:c r="E46" s="20" t="str">
        <x:v>—</x:v>
      </x:c>
      <x:c r="F46" s="29" t="str">
        <x:v>Have</x:v>
      </x:c>
      <x:c r="G46" s="20" t="str">
        <x:v>County and ZIP growth implemented</x:v>
      </x:c>
      <x:c r="H46" s="20" t="str">
        <x:v>derived observed</x:v>
      </x:c>
      <x:c r="I46" s="20" t="str">
        <x:v>Zillow ZORI</x:v>
      </x:c>
      <x:c r="J46" s="20" t="str">
        <x:v>zillow_county_zori_smoothed_sa | zillow_zip_zori_smoothed_sa</x:v>
      </x:c>
      <x:c r="K46" s="28" t="str">
        <x:v>Compliant</x:v>
      </x:c>
      <x:c r="L46" s="20" t="str">
        <x:v>MoM and 100 × (ZORI[t] / ZORI[t-12] - 1)</x:v>
      </x:c>
      <x:c r="M46" s="20" t="str">
        <x:v>LA County: 136 MoM and 125 YoY values; postal ZIP: 10,195 MoM and 14,800 YoY values through 2026-05</x:v>
      </x:c>
      <x:c r="N46" s="20" t="str">
        <x:v>ZIP growth inherits Zillow source-geography and exact-calendar gaps; no county value fills a missing ZIP month.</x:v>
      </x:c>
      <x:c r="O46" s="20" t="str">
        <x:v>None</x:v>
      </x:c>
      <x:c r="P46" s="20" t="str">
        <x:v>None; preserve exact-calendar source gaps.</x:v>
      </x:c>
    </x:row>
    <x:row r="47" ht="78" customHeight="1">
      <x:c r="A47" s="21" t="n">
        <x:v>43</x:v>
      </x:c>
      <x:c r="B47" s="21" t="str">
        <x:v>Renters</x:v>
      </x:c>
      <x:c r="C47" s="21" t="str">
        <x:v>hvs_rental_vacancy_rate_ca | hvs_rental_vacancy_rate_la_metro</x:v>
      </x:c>
      <x:c r="D47" s="21" t="str">
        <x:v>Rental vacancy (HVS)</x:v>
      </x:c>
      <x:c r="E47" s="21" t="str">
        <x:v>—</x:v>
      </x:c>
      <x:c r="F47" s="29" t="str">
        <x:v>Have</x:v>
      </x:c>
      <x:c r="G47" s="21" t="str">
        <x:v>Implemented</x:v>
      </x:c>
      <x:c r="H47" s="21" t="str">
        <x:v>observed survey rate</x:v>
      </x:c>
      <x:c r="I47" s="21" t="str">
        <x:v>Census Housing Vacancy Survey</x:v>
      </x:c>
      <x:c r="J47" s="21" t="str">
        <x:v>census_hvs_state_rental_vacancy | census_hvs_metro_rental_vacancy_*</x:v>
      </x:c>
      <x:c r="K47" s="28" t="str">
        <x:v>Compliant</x:v>
      </x:c>
      <x:c r="L47" s="21" t="str">
        <x:v>—</x:v>
      </x:c>
      <x:c r="M47" s="21" t="str">
        <x:v>85 quarters each, 2005 Q1 through 2026 Q1</x:v>
      </x:c>
      <x:c r="N47" s="21" t="str">
        <x:v>Geography is California state and LA metro, not LA County or ZIP.</x:v>
      </x:c>
      <x:c r="O47" s="21" t="str">
        <x:v>None</x:v>
      </x:c>
      <x:c r="P47" s="21" t="str">
        <x:v>None; retain the true source geography.</x:v>
      </x:c>
    </x:row>
    <x:row r="48" ht="78" customHeight="1">
      <x:c r="A48" s="20" t="n">
        <x:v>44</x:v>
      </x:c>
      <x:c r="B48" s="20" t="str">
        <x:v>Renters</x:v>
      </x:c>
      <x:c r="C48" s="20" t="str">
        <x:v>permits_5_plus_units</x:v>
      </x:c>
      <x:c r="D48" s="20" t="str">
        <x:v>Multifamily permits (5+ units)</x:v>
      </x:c>
      <x:c r="E48" s="20" t="str">
        <x:v>—</x:v>
      </x:c>
      <x:c r="F48" s="29" t="str">
        <x:v>Have</x:v>
      </x:c>
      <x:c r="G48" s="20" t="str">
        <x:v>Implemented</x:v>
      </x:c>
      <x:c r="H48" s="20" t="str">
        <x:v>observed authorization</x:v>
      </x:c>
      <x:c r="I48" s="20" t="str">
        <x:v>Census BPS</x:v>
      </x:c>
      <x:c r="J48" s="20" t="str">
        <x:v>census_bps_county | census_bps_state</x:v>
      </x:c>
      <x:c r="K48" s="28" t="str">
        <x:v>Compliant</x:v>
      </x:c>
      <x:c r="L48" s="20" t="str">
        <x:v>—</x:v>
      </x:c>
      <x:c r="M48" s="20" t="str">
        <x:v>318 LA County months and 318 California months, 2000-01 through 2026-06</x:v>
      </x:c>
      <x:c r="N48" s="20" t="str">
        <x:v>None</x:v>
      </x:c>
      <x:c r="O48" s="20" t="str">
        <x:v>None</x:v>
      </x:c>
      <x:c r="P48" s="20" t="str">
        <x:v>None</x:v>
      </x:c>
    </x:row>
    <x:row r="49" ht="78" customHeight="1">
      <x:c r="A49" s="21" t="n">
        <x:v>45</x:v>
      </x:c>
      <x:c r="B49" s="21" t="str">
        <x:v>Overall housing market</x:v>
      </x:c>
      <x:c r="C49" s="21" t="str">
        <x:v>sales_to_inventory_ratio | inventory_to_sales_ratio</x:v>
      </x:c>
      <x:c r="D49" s="21" t="str">
        <x:v>Housing turnover</x:v>
      </x:c>
      <x:c r="E49" s="21" t="str">
        <x:v>—</x:v>
      </x:c>
      <x:c r="F49" s="29" t="str">
        <x:v>Have</x:v>
      </x:c>
      <x:c r="G49" s="21" t="str">
        <x:v>Listed Redfin liquidity proxy implemented</x:v>
      </x:c>
      <x:c r="H49" s="21" t="str">
        <x:v>derived proxy</x:v>
      </x:c>
      <x:c r="I49" s="21" t="str">
        <x:v>Redfin sales and inventory under the earlier tracker</x:v>
      </x:c>
      <x:c r="J49" s="21" t="str">
        <x:v>redfin_county_monthly</x:v>
      </x:c>
      <x:c r="K49" s="28" t="str">
        <x:v>Compliant</x:v>
      </x:c>
      <x:c r="L49" s="21" t="str">
        <x:v>sales / inventory and inventory / sales</x:v>
      </x:c>
      <x:c r="M49" s="21" t="str">
        <x:v>173 LA County months, 2012-01 through 2026-05</x:v>
      </x:c>
      <x:c r="N49" s="21" t="str">
        <x:v>The listed proxy measures sales/inventory liquidity, not sales divided by the total housing stock.</x:v>
      </x:c>
      <x:c r="O49" s="21" t="str">
        <x:v>None</x:v>
      </x:c>
      <x:c r="P49" s="21" t="str">
        <x:v>None for the listed proxy; a stock-based turnover measure would be a separately named future variable requiring an approved denominator.</x:v>
      </x:c>
    </x:row>
    <x:row r="50" ht="78" customHeight="1">
      <x:c r="A50" s="20" t="n">
        <x:v>46</x:v>
      </x:c>
      <x:c r="B50" s="20" t="str">
        <x:v>Overall housing market</x:v>
      </x:c>
      <x:c r="C50" s="20" t="str">
        <x:v>days_on_market | redfin_zip_median_days_on_market_rolling_3m</x:v>
      </x:c>
      <x:c r="D50" s="20" t="str">
        <x:v>Market time / days on market</x:v>
      </x:c>
      <x:c r="E50" s="20" t="str">
        <x:v>—</x:v>
      </x:c>
      <x:c r="F50" s="29" t="str">
        <x:v>Have</x:v>
      </x:c>
      <x:c r="G50" s="20" t="str">
        <x:v>Implemented</x:v>
      </x:c>
      <x:c r="H50" s="20" t="str">
        <x:v>observed market metric</x:v>
      </x:c>
      <x:c r="I50" s="20" t="str">
        <x:v>Redfin Data Center</x:v>
      </x:c>
      <x:c r="J50" s="20" t="str">
        <x:v>redfin_county_monthly | redfin_zip_monthly</x:v>
      </x:c>
      <x:c r="K50" s="28" t="str">
        <x:v>Compliant</x:v>
      </x:c>
      <x:c r="L50" s="20" t="str">
        <x:v>—</x:v>
      </x:c>
      <x:c r="M50" s="20" t="str">
        <x:v>County 173/173; ZIP rolling series 22,946/23,009 non-null</x:v>
      </x:c>
      <x:c r="N50" s="20" t="str">
        <x:v>63 ZIP rolling observations are provider-null.</x:v>
      </x:c>
      <x:c r="O50" s="20" t="str">
        <x:v>None</x:v>
      </x:c>
      <x:c r="P50" s="20" t="str">
        <x:v>None; preserve nulls and rolling-window labels.</x:v>
      </x:c>
    </x:row>
    <x:row r="51" ht="78" customHeight="1">
      <x:c r="A51" s="21" t="n">
        <x:v>47</x:v>
      </x:c>
      <x:c r="B51" s="21" t="str">
        <x:v>Overall housing market</x:v>
      </x:c>
      <x:c r="C51" s="21" t="str">
        <x:v>price_drop_share</x:v>
      </x:c>
      <x:c r="D51" s="21" t="str">
        <x:v>Share of homes with price drops</x:v>
      </x:c>
      <x:c r="E51" s="21" t="str">
        <x:v>—</x:v>
      </x:c>
      <x:c r="F51" s="29" t="str">
        <x:v>Have</x:v>
      </x:c>
      <x:c r="G51" s="21" t="str">
        <x:v>Implemented with one gap</x:v>
      </x:c>
      <x:c r="H51" s="21" t="str">
        <x:v>observed market metric</x:v>
      </x:c>
      <x:c r="I51" s="21" t="str">
        <x:v>Redfin Data Center</x:v>
      </x:c>
      <x:c r="J51" s="21" t="str">
        <x:v>redfin_county_monthly</x:v>
      </x:c>
      <x:c r="K51" s="28" t="str">
        <x:v>Compliant</x:v>
      </x:c>
      <x:c r="L51" s="21" t="str">
        <x:v>—</x:v>
      </x:c>
      <x:c r="M51" s="21" t="str">
        <x:v>172 of 173 LA County months non-null, 2012-01 through 2026-05</x:v>
      </x:c>
      <x:c r="N51" s="21" t="str">
        <x:v>One provider-null month remains missing.</x:v>
      </x:c>
      <x:c r="O51" s="21" t="str">
        <x:v>None</x:v>
      </x:c>
      <x:c r="P51" s="21" t="str">
        <x:v>None; preserve the provider null.</x:v>
      </x:c>
    </x:row>
    <x:row r="52" ht="78" customHeight="1">
      <x:c r="A52" s="20" t="n">
        <x:v>48</x:v>
      </x:c>
      <x:c r="B52" s="20" t="str">
        <x:v>Labor / macro</x:v>
      </x:c>
      <x:c r="C52" s="20" t="str">
        <x:v>ces_total_nonfarm_employment_sa</x:v>
      </x:c>
      <x:c r="D52" s="20" t="str">
        <x:v>Payroll employment</x:v>
      </x:c>
      <x:c r="E52" s="20" t="str">
        <x:v>—</x:v>
      </x:c>
      <x:c r="F52" s="29" t="str">
        <x:v>Have</x:v>
      </x:c>
      <x:c r="G52" s="20" t="str">
        <x:v>Implemented</x:v>
      </x:c>
      <x:c r="H52" s="20" t="str">
        <x:v>observed labor statistic</x:v>
      </x:c>
      <x:c r="I52" s="20" t="str">
        <x:v>BLS CES</x:v>
      </x:c>
      <x:c r="J52" s="20" t="str">
        <x:v>bls_ces_la_metro</x:v>
      </x:c>
      <x:c r="K52" s="28" t="str">
        <x:v>Compliant</x:v>
      </x:c>
      <x:c r="L52" s="20" t="str">
        <x:v>—</x:v>
      </x:c>
      <x:c r="M52" s="20" t="str">
        <x:v>257 LA metro months, 2005-01 through 2026-05</x:v>
      </x:c>
      <x:c r="N52" s="20" t="str">
        <x:v>Geography is LA metro, not LA County.</x:v>
      </x:c>
      <x:c r="O52" s="20" t="str">
        <x:v>None</x:v>
      </x:c>
      <x:c r="P52" s="20" t="str">
        <x:v>None; retain metro geography.</x:v>
      </x:c>
    </x:row>
    <x:row r="53" ht="78" customHeight="1">
      <x:c r="A53" s="21" t="n">
        <x:v>49</x:v>
      </x:c>
      <x:c r="B53" s="21" t="str">
        <x:v>Labor / macro</x:v>
      </x:c>
      <x:c r="C53" s="21" t="str">
        <x:v>unemployment_rate</x:v>
      </x:c>
      <x:c r="D53" s="21" t="str">
        <x:v>Unemployment rate</x:v>
      </x:c>
      <x:c r="E53" s="21" t="str">
        <x:v>—</x:v>
      </x:c>
      <x:c r="F53" s="29" t="str">
        <x:v>Have</x:v>
      </x:c>
      <x:c r="G53" s="21" t="str">
        <x:v>Implemented with one gap</x:v>
      </x:c>
      <x:c r="H53" s="21" t="str">
        <x:v>observed labor statistic</x:v>
      </x:c>
      <x:c r="I53" s="21" t="str">
        <x:v>BLS LAUS</x:v>
      </x:c>
      <x:c r="J53" s="21" t="str">
        <x:v>bls_laus_la_county</x:v>
      </x:c>
      <x:c r="K53" s="28" t="str">
        <x:v>Compliant</x:v>
      </x:c>
      <x:c r="L53" s="21" t="str">
        <x:v>—</x:v>
      </x:c>
      <x:c r="M53" s="21" t="str">
        <x:v>436 of 437 LA County months non-null, 1990-01 through 2026-05</x:v>
      </x:c>
      <x:c r="N53" s="21" t="str">
        <x:v>One provider-null month remains missing.</x:v>
      </x:c>
      <x:c r="O53" s="21" t="str">
        <x:v>None</x:v>
      </x:c>
      <x:c r="P53" s="21" t="str">
        <x:v>None; preserve the provider null.</x:v>
      </x:c>
    </x:row>
    <x:row r="54" ht="78" customHeight="1">
      <x:c r="A54" s="20" t="n">
        <x:v>50</x:v>
      </x:c>
      <x:c r="B54" s="20" t="str">
        <x:v>Labor / macro</x:v>
      </x:c>
      <x:c r="C54" s="20" t="str">
        <x:v>labor_force | employment | unemployment</x:v>
      </x:c>
      <x:c r="D54" s="20" t="str">
        <x:v>Labor-force components</x:v>
      </x:c>
      <x:c r="E54" s="20" t="str">
        <x:v>—</x:v>
      </x:c>
      <x:c r="F54" s="29" t="str">
        <x:v>Have</x:v>
      </x:c>
      <x:c r="G54" s="20" t="str">
        <x:v>Implemented with one gap each</x:v>
      </x:c>
      <x:c r="H54" s="20" t="str">
        <x:v>observed labor statistic</x:v>
      </x:c>
      <x:c r="I54" s="20" t="str">
        <x:v>BLS LAUS</x:v>
      </x:c>
      <x:c r="J54" s="20" t="str">
        <x:v>bls_laus_la_county</x:v>
      </x:c>
      <x:c r="K54" s="28" t="str">
        <x:v>Compliant</x:v>
      </x:c>
      <x:c r="L54" s="20" t="str">
        <x:v>—</x:v>
      </x:c>
      <x:c r="M54" s="20" t="str">
        <x:v>436 of 437 LA County months non-null per field, 1990-01 through 2026-05</x:v>
      </x:c>
      <x:c r="N54" s="20" t="str">
        <x:v>One provider-null month remains missing in each component.</x:v>
      </x:c>
      <x:c r="O54" s="20" t="str">
        <x:v>None</x:v>
      </x:c>
      <x:c r="P54" s="20" t="str">
        <x:v>None; preserve provider nulls.</x:v>
      </x:c>
    </x:row>
    <x:row r="55" ht="78" customHeight="1">
      <x:c r="A55" s="21" t="n">
        <x:v>51</x:v>
      </x:c>
      <x:c r="B55" s="21" t="str">
        <x:v>Income / macro</x:v>
      </x:c>
      <x:c r="C55" s="21" t="str">
        <x:v>bea_ca_personal_income_q_sa | bea_la_county_personal_income_annual</x:v>
      </x:c>
      <x:c r="D55" s="21" t="str">
        <x:v>Personal income</x:v>
      </x:c>
      <x:c r="E55" s="21" t="str">
        <x:v>Personal Income (proxy)</x:v>
      </x:c>
      <x:c r="F55" s="29" t="str">
        <x:v>Have</x:v>
      </x:c>
      <x:c r="G55" s="21" t="str">
        <x:v>Both listed native-frequency series implemented</x:v>
      </x:c>
      <x:c r="H55" s="21" t="str">
        <x:v>observed income control</x:v>
      </x:c>
      <x:c r="I55" s="21" t="str">
        <x:v>BEA</x:v>
      </x:c>
      <x:c r="J55" s="21" t="str">
        <x:v>bea_state_personal_income | bea_county_personal_income</x:v>
      </x:c>
      <x:c r="K55" s="28" t="str">
        <x:v>Compliant</x:v>
      </x:c>
      <x:c r="L55" s="21" t="str">
        <x:v>—</x:v>
      </x:c>
      <x:c r="M55" s="21" t="str">
        <x:v>California quarterly 1948 Q1-2026 Q1; LA County annual 1969-2024</x:v>
      </x:c>
      <x:c r="N55" s="21" t="str">
        <x:v>California is quarterly and LA County is annual; neither series is relabeled to a frequency or geography BEA does not publish here.</x:v>
      </x:c>
      <x:c r="O55" s="21" t="str">
        <x:v>None</x:v>
      </x:c>
      <x:c r="P55" s="21" t="str">
        <x:v>None; retain the state-quarterly and county-annual observations at native frequency.</x:v>
      </x:c>
    </x:row>
    <x:row r="56" ht="78" customHeight="1">
      <x:c r="A56" s="20" t="n">
        <x:v>52</x:v>
      </x:c>
      <x:c r="B56" s="20" t="str">
        <x:v>Inflation / macro</x:v>
      </x:c>
      <x:c r="C56" s="20" t="str">
        <x:v>cpi_u_all_items_la_nsa</x:v>
      </x:c>
      <x:c r="D56" s="20" t="str">
        <x:v>CPI / inflation</x:v>
      </x:c>
      <x:c r="E56" s="20" t="str">
        <x:v>—</x:v>
      </x:c>
      <x:c r="F56" s="29" t="str">
        <x:v>Have</x:v>
      </x:c>
      <x:c r="G56" s="20" t="str">
        <x:v>Implemented with one gap</x:v>
      </x:c>
      <x:c r="H56" s="20" t="str">
        <x:v>observed price index</x:v>
      </x:c>
      <x:c r="I56" s="20" t="str">
        <x:v>BLS CPI-U</x:v>
      </x:c>
      <x:c r="J56" s="20" t="str">
        <x:v>bls_cpi_la_metro</x:v>
      </x:c>
      <x:c r="K56" s="28" t="str">
        <x:v>Compliant</x:v>
      </x:c>
      <x:c r="L56" s="20" t="str">
        <x:v>—</x:v>
      </x:c>
      <x:c r="M56" s="20" t="str">
        <x:v>1,094 of 1,095 LA metro observations non-null, 1914-12 through 2026-05</x:v>
      </x:c>
      <x:c r="N56" s="20" t="str">
        <x:v>One provider-null observation remains; geography is LA metro.</x:v>
      </x:c>
      <x:c r="O56" s="20" t="str">
        <x:v>None</x:v>
      </x:c>
      <x:c r="P56" s="20" t="str">
        <x:v>None; preserve the provider null and metro label.</x:v>
      </x:c>
    </x:row>
  </x:sheetData>
  <x:mergeCells>
    <x:mergeCell ref="A1:P1"/>
    <x:mergeCell ref="A2:P2"/>
    <x:mergeCell ref="A3:P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14" hidden="0" customWidth="1"/>
    <x:col min="3" max="3" width="50" hidden="0" customWidth="1"/>
    <x:col min="4" max="4" width="42" hidden="0" customWidth="1"/>
    <x:col min="5" max="5" width="28" hidden="0" customWidth="1"/>
    <x:col min="6" max="6" width="18" hidden="0" customWidth="1"/>
    <x:col min="7" max="7" width="18" hidden="0" customWidth="1"/>
    <x:col min="8" max="8" width="18" hidden="0" customWidth="1"/>
    <x:col min="9" max="9" width="58" hidden="0" customWidth="1"/>
    <x:col min="10" max="10" width="60" hidden="0" customWidth="1"/>
  </x:cols>
  <x:sheetData>
    <x:row r="1" ht="30" customHeight="1">
      <x:c r="A1" s="3" t="str">
        <x:v>Configured Variable ID Completeness</x:v>
      </x:c>
      <x:c r="B1" s="3"/>
      <x:c r="C1" s="3"/>
      <x:c r="D1" s="3"/>
      <x:c r="E1" s="3"/>
      <x:c r="F1" s="3"/>
      <x:c r="G1" s="3"/>
      <x:c r="H1" s="3"/>
      <x:c r="I1" s="3"/>
      <x:c r="J1" s="3"/>
    </x:row>
    <x:row r="2" ht="34" customHeight="1">
      <x:c r="A2" s="7" t="str">
        <x:v>All 251 configured IDs are listed individually. General IDs are reconciled to the fact/panel/control/scenario outputs; Version A row and non-null counts come from the Los Angeles County export.</x:v>
      </x:c>
      <x:c r="B2" s="7"/>
      <x:c r="C2" s="7"/>
      <x:c r="D2" s="7"/>
      <x:c r="E2" s="7"/>
      <x:c r="F2" s="7"/>
      <x:c r="G2" s="7"/>
      <x:c r="H2" s="7"/>
      <x:c r="I2" s="7"/>
      <x:c r="J2" s="7"/>
    </x:row>
    <x:row r="3" ht="38" customHeight="1">
      <x:c r="A3" s="11" t="str">
        <x:v>A schema-only ID is materialized but has no non-null value. It does not count as available. The 12 schema-only IDs all share the documented calibrated debt/equity universe blocker.</x:v>
      </x:c>
      <x:c r="B3" s="11"/>
      <x:c r="C3" s="11"/>
      <x:c r="D3" s="11"/>
      <x:c r="E3" s="11"/>
      <x:c r="F3" s="11"/>
      <x:c r="G3" s="11"/>
      <x:c r="H3" s="11"/>
      <x:c r="I3" s="11"/>
      <x:c r="J3" s="11"/>
    </x:row>
    <x:row r="4" ht="38" customHeight="1">
      <x:c r="A4" s="17" t="str">
        <x:v>#</x:v>
      </x:c>
      <x:c r="B4" s="17" t="str">
        <x:v>Contract</x:v>
      </x:c>
      <x:c r="C4" s="17" t="str">
        <x:v>Variable ID</x:v>
      </x:c>
      <x:c r="D4" s="17" t="str">
        <x:v>Display name</x:v>
      </x:c>
      <x:c r="E4" s="17" t="str">
        <x:v>Provider</x:v>
      </x:c>
      <x:c r="F4" s="17" t="str">
        <x:v>Current output status</x:v>
      </x:c>
      <x:c r="G4" s="17" t="str">
        <x:v>LA export rows</x:v>
      </x:c>
      <x:c r="H4" s="17" t="str">
        <x:v>LA non-null rows</x:v>
      </x:c>
      <x:c r="I4" s="17" t="str">
        <x:v>Exact gap / qualification</x:v>
      </x:c>
      <x:c r="J4" s="17" t="str">
        <x:v>Exact next step</x:v>
      </x:c>
    </x:row>
    <x:row r="5" ht="64" customHeight="1">
      <x:c r="A5" s="21" t="n">
        <x:v>1</x:v>
      </x:c>
      <x:c r="B5" s="21" t="str">
        <x:v>General</x:v>
      </x:c>
      <x:c r="C5" s="21" t="str">
        <x:v>zhvi</x:v>
      </x:c>
      <x:c r="D5" s="21" t="str">
        <x:v>Zillow Home Value Index</x:v>
      </x:c>
      <x:c r="E5" s="21" t="str">
        <x:v>Zillow Research</x:v>
      </x:c>
      <x:c r="F5" s="29" t="str">
        <x:v>Have</x:v>
      </x:c>
      <x:c r="G5" s="21" t="str">
        <x:v>See general output tables</x:v>
      </x:c>
      <x:c r="H5" s="21" t="str">
        <x:v>Represented</x:v>
      </x:c>
      <x:c r="I5" s="21" t="str">
        <x:v>Provider/source gaps and qualifications are preserved in the canonical inventory.</x:v>
      </x:c>
      <x:c r="J5" s="21" t="str">
        <x:v>None beyond source-specific refresh and QA.</x:v>
      </x:c>
    </x:row>
    <x:row r="6" ht="64" customHeight="1">
      <x:c r="A6" s="20" t="n">
        <x:v>2</x:v>
      </x:c>
      <x:c r="B6" s="20" t="str">
        <x:v>General</x:v>
      </x:c>
      <x:c r="C6" s="20" t="str">
        <x:v>zori_smoothed_sa</x:v>
      </x:c>
      <x:c r="D6" s="20" t="str">
        <x:v>Zillow Observed Rent Index - smoothed seasonally adjusted</x:v>
      </x:c>
      <x:c r="E6" s="20" t="str">
        <x:v>Zillow Research</x:v>
      </x:c>
      <x:c r="F6" s="29" t="str">
        <x:v>Have</x:v>
      </x:c>
      <x:c r="G6" s="20" t="str">
        <x:v>See general output tables</x:v>
      </x:c>
      <x:c r="H6" s="20" t="str">
        <x:v>Represented</x:v>
      </x:c>
      <x:c r="I6" s="20" t="str">
        <x:v>Provider/source gaps and qualifications are preserved in the canonical inventory.</x:v>
      </x:c>
      <x:c r="J6" s="20" t="str">
        <x:v>None beyond source-specific refresh and QA.</x:v>
      </x:c>
    </x:row>
    <x:row r="7" ht="64" customHeight="1">
      <x:c r="A7" s="21" t="n">
        <x:v>3</x:v>
      </x:c>
      <x:c r="B7" s="21" t="str">
        <x:v>General</x:v>
      </x:c>
      <x:c r="C7" s="21" t="str">
        <x:v>redfin_zip_homes_sold_rolling_3m</x:v>
      </x:c>
      <x:c r="D7" s="21" t="str">
        <x:v>Redfin ZIP homes sold - rolling 3 months</x:v>
      </x:c>
      <x:c r="E7" s="21" t="str">
        <x:v>Redfin Data Center</x:v>
      </x:c>
      <x:c r="F7" s="29" t="str">
        <x:v>Have</x:v>
      </x:c>
      <x:c r="G7" s="21" t="str">
        <x:v>See general output tables</x:v>
      </x:c>
      <x:c r="H7" s="21" t="str">
        <x:v>Represented</x:v>
      </x:c>
      <x:c r="I7" s="21" t="str">
        <x:v>Provider/source gaps and qualifications are preserved in the canonical inventory.</x:v>
      </x:c>
      <x:c r="J7" s="21" t="str">
        <x:v>None beyond source-specific refresh and QA.</x:v>
      </x:c>
    </x:row>
    <x:row r="8" ht="64" customHeight="1">
      <x:c r="A8" s="20" t="n">
        <x:v>4</x:v>
      </x:c>
      <x:c r="B8" s="20" t="str">
        <x:v>General</x:v>
      </x:c>
      <x:c r="C8" s="20" t="str">
        <x:v>redfin_zip_median_sale_price_nsa_rolling_3m</x:v>
      </x:c>
      <x:c r="D8" s="20" t="str">
        <x:v>Redfin ZIP median sale price NSA - rolling 3 months</x:v>
      </x:c>
      <x:c r="E8" s="20" t="str">
        <x:v>Redfin Data Center</x:v>
      </x:c>
      <x:c r="F8" s="29" t="str">
        <x:v>Have</x:v>
      </x:c>
      <x:c r="G8" s="20" t="str">
        <x:v>See general output tables</x:v>
      </x:c>
      <x:c r="H8" s="20" t="str">
        <x:v>Represented</x:v>
      </x:c>
      <x:c r="I8" s="20" t="str">
        <x:v>Provider/source gaps and qualifications are preserved in the canonical inventory.</x:v>
      </x:c>
      <x:c r="J8" s="20" t="str">
        <x:v>None beyond source-specific refresh and QA.</x:v>
      </x:c>
    </x:row>
    <x:row r="9" ht="64" customHeight="1">
      <x:c r="A9" s="21" t="n">
        <x:v>5</x:v>
      </x:c>
      <x:c r="B9" s="21" t="str">
        <x:v>General</x:v>
      </x:c>
      <x:c r="C9" s="21" t="str">
        <x:v>redfin_zip_median_days_on_market_rolling_3m</x:v>
      </x:c>
      <x:c r="D9" s="21" t="str">
        <x:v>Redfin ZIP median days on market - rolling 3 months</x:v>
      </x:c>
      <x:c r="E9" s="21" t="str">
        <x:v>Redfin Data Center</x:v>
      </x:c>
      <x:c r="F9" s="29" t="str">
        <x:v>Have</x:v>
      </x:c>
      <x:c r="G9" s="21" t="str">
        <x:v>See general output tables</x:v>
      </x:c>
      <x:c r="H9" s="21" t="str">
        <x:v>Represented</x:v>
      </x:c>
      <x:c r="I9" s="21" t="str">
        <x:v>Provider/source gaps and qualifications are preserved in the canonical inventory.</x:v>
      </x:c>
      <x:c r="J9" s="21" t="str">
        <x:v>None beyond source-specific refresh and QA.</x:v>
      </x:c>
    </x:row>
    <x:row r="10" ht="64" customHeight="1">
      <x:c r="A10" s="20" t="n">
        <x:v>6</x:v>
      </x:c>
      <x:c r="B10" s="20" t="str">
        <x:v>General</x:v>
      </x:c>
      <x:c r="C10" s="20" t="str">
        <x:v>redfin_zip_new_listings_rolling_3m</x:v>
      </x:c>
      <x:c r="D10" s="20" t="str">
        <x:v>Redfin ZIP new listings - rolling 3 months</x:v>
      </x:c>
      <x:c r="E10" s="20" t="str">
        <x:v>Redfin Data Center</x:v>
      </x:c>
      <x:c r="F10" s="29" t="str">
        <x:v>Have</x:v>
      </x:c>
      <x:c r="G10" s="20" t="str">
        <x:v>See general output tables</x:v>
      </x:c>
      <x:c r="H10" s="20" t="str">
        <x:v>Represented</x:v>
      </x:c>
      <x:c r="I10" s="20" t="str">
        <x:v>Provider/source gaps and qualifications are preserved in the canonical inventory.</x:v>
      </x:c>
      <x:c r="J10" s="20" t="str">
        <x:v>None beyond source-specific refresh and QA.</x:v>
      </x:c>
    </x:row>
    <x:row r="11" ht="64" customHeight="1">
      <x:c r="A11" s="21" t="n">
        <x:v>7</x:v>
      </x:c>
      <x:c r="B11" s="21" t="str">
        <x:v>General</x:v>
      </x:c>
      <x:c r="C11" s="21" t="str">
        <x:v>redfin_zip_active_listings_rolling_3m</x:v>
      </x:c>
      <x:c r="D11" s="21" t="str">
        <x:v>Redfin ZIP active listings - rolling 3 months</x:v>
      </x:c>
      <x:c r="E11" s="21" t="str">
        <x:v>Redfin Data Center</x:v>
      </x:c>
      <x:c r="F11" s="29" t="str">
        <x:v>Have</x:v>
      </x:c>
      <x:c r="G11" s="21" t="str">
        <x:v>See general output tables</x:v>
      </x:c>
      <x:c r="H11" s="21" t="str">
        <x:v>Represented</x:v>
      </x:c>
      <x:c r="I11" s="21" t="str">
        <x:v>Provider/source gaps and qualifications are preserved in the canonical inventory.</x:v>
      </x:c>
      <x:c r="J11" s="21" t="str">
        <x:v>None beyond source-specific refresh and QA.</x:v>
      </x:c>
    </x:row>
    <x:row r="12" ht="64" customHeight="1">
      <x:c r="A12" s="20" t="n">
        <x:v>8</x:v>
      </x:c>
      <x:c r="B12" s="20" t="str">
        <x:v>General</x:v>
      </x:c>
      <x:c r="C12" s="20" t="str">
        <x:v>redfin_zip_pending_sales_rolling_3m</x:v>
      </x:c>
      <x:c r="D12" s="20" t="str">
        <x:v>Redfin ZIP pending sales - rolling 3 months</x:v>
      </x:c>
      <x:c r="E12" s="20" t="str">
        <x:v>Redfin Data Center</x:v>
      </x:c>
      <x:c r="F12" s="29" t="str">
        <x:v>Have</x:v>
      </x:c>
      <x:c r="G12" s="20" t="str">
        <x:v>See general output tables</x:v>
      </x:c>
      <x:c r="H12" s="20" t="str">
        <x:v>Represented</x:v>
      </x:c>
      <x:c r="I12" s="20" t="str">
        <x:v>Provider/source gaps and qualifications are preserved in the canonical inventory.</x:v>
      </x:c>
      <x:c r="J12" s="20" t="str">
        <x:v>None beyond source-specific refresh and QA.</x:v>
      </x:c>
    </x:row>
    <x:row r="13" ht="64" customHeight="1">
      <x:c r="A13" s="21" t="n">
        <x:v>9</x:v>
      </x:c>
      <x:c r="B13" s="21" t="str">
        <x:v>General</x:v>
      </x:c>
      <x:c r="C13" s="21" t="str">
        <x:v>redfin_zip_homes_sold_yoy_pct_provider_rolling_3m</x:v>
      </x:c>
      <x:c r="D13" s="21" t="str">
        <x:v>Redfin ZIP homes sold provider YoY - rolling 3 months</x:v>
      </x:c>
      <x:c r="E13" s="21" t="str">
        <x:v>Redfin Data Center</x:v>
      </x:c>
      <x:c r="F13" s="29" t="str">
        <x:v>Have</x:v>
      </x:c>
      <x:c r="G13" s="21" t="str">
        <x:v>See general output tables</x:v>
      </x:c>
      <x:c r="H13" s="21" t="str">
        <x:v>Represented</x:v>
      </x:c>
      <x:c r="I13" s="21" t="str">
        <x:v>Provider/source gaps and qualifications are preserved in the canonical inventory.</x:v>
      </x:c>
      <x:c r="J13" s="21" t="str">
        <x:v>None beyond source-specific refresh and QA.</x:v>
      </x:c>
    </x:row>
    <x:row r="14" ht="64" customHeight="1">
      <x:c r="A14" s="20" t="n">
        <x:v>10</x:v>
      </x:c>
      <x:c r="B14" s="20" t="str">
        <x:v>General</x:v>
      </x:c>
      <x:c r="C14" s="20" t="str">
        <x:v>redfin_zip_median_sale_price_nsa_yoy_pct_provider_rolling_3m</x:v>
      </x:c>
      <x:c r="D14" s="20" t="str">
        <x:v>Redfin ZIP median sale price NSA provider YoY - rolling 3 months</x:v>
      </x:c>
      <x:c r="E14" s="20" t="str">
        <x:v>Redfin Data Center</x:v>
      </x:c>
      <x:c r="F14" s="29" t="str">
        <x:v>Have</x:v>
      </x:c>
      <x:c r="G14" s="20" t="str">
        <x:v>See general output tables</x:v>
      </x:c>
      <x:c r="H14" s="20" t="str">
        <x:v>Represented</x:v>
      </x:c>
      <x:c r="I14" s="20" t="str">
        <x:v>Provider/source gaps and qualifications are preserved in the canonical inventory.</x:v>
      </x:c>
      <x:c r="J14" s="20" t="str">
        <x:v>None beyond source-specific refresh and QA.</x:v>
      </x:c>
    </x:row>
    <x:row r="15" ht="64" customHeight="1">
      <x:c r="A15" s="21" t="n">
        <x:v>11</x:v>
      </x:c>
      <x:c r="B15" s="21" t="str">
        <x:v>General</x:v>
      </x:c>
      <x:c r="C15" s="21" t="str">
        <x:v>redfin_zip_median_days_on_market_yoy_pct_provider_rolling_3m</x:v>
      </x:c>
      <x:c r="D15" s="21" t="str">
        <x:v>Redfin ZIP median days on market provider YoY - rolling 3 months</x:v>
      </x:c>
      <x:c r="E15" s="21" t="str">
        <x:v>Redfin Data Center</x:v>
      </x:c>
      <x:c r="F15" s="29" t="str">
        <x:v>Have</x:v>
      </x:c>
      <x:c r="G15" s="21" t="str">
        <x:v>See general output tables</x:v>
      </x:c>
      <x:c r="H15" s="21" t="str">
        <x:v>Represented</x:v>
      </x:c>
      <x:c r="I15" s="21" t="str">
        <x:v>Provider/source gaps and qualifications are preserved in the canonical inventory.</x:v>
      </x:c>
      <x:c r="J15" s="21" t="str">
        <x:v>None beyond source-specific refresh and QA.</x:v>
      </x:c>
    </x:row>
    <x:row r="16" ht="64" customHeight="1">
      <x:c r="A16" s="20" t="n">
        <x:v>12</x:v>
      </x:c>
      <x:c r="B16" s="20" t="str">
        <x:v>General</x:v>
      </x:c>
      <x:c r="C16" s="20" t="str">
        <x:v>redfin_zip_new_listings_yoy_pct_provider_rolling_3m</x:v>
      </x:c>
      <x:c r="D16" s="20" t="str">
        <x:v>Redfin ZIP new listings provider YoY - rolling 3 months</x:v>
      </x:c>
      <x:c r="E16" s="20" t="str">
        <x:v>Redfin Data Center</x:v>
      </x:c>
      <x:c r="F16" s="29" t="str">
        <x:v>Have</x:v>
      </x:c>
      <x:c r="G16" s="20" t="str">
        <x:v>See general output tables</x:v>
      </x:c>
      <x:c r="H16" s="20" t="str">
        <x:v>Represented</x:v>
      </x:c>
      <x:c r="I16" s="20" t="str">
        <x:v>Provider/source gaps and qualifications are preserved in the canonical inventory.</x:v>
      </x:c>
      <x:c r="J16" s="20" t="str">
        <x:v>None beyond source-specific refresh and QA.</x:v>
      </x:c>
    </x:row>
    <x:row r="17" ht="64" customHeight="1">
      <x:c r="A17" s="21" t="n">
        <x:v>13</x:v>
      </x:c>
      <x:c r="B17" s="21" t="str">
        <x:v>General</x:v>
      </x:c>
      <x:c r="C17" s="21" t="str">
        <x:v>redfin_zip_active_listings_yoy_pct_provider_rolling_3m</x:v>
      </x:c>
      <x:c r="D17" s="21" t="str">
        <x:v>Redfin ZIP active listings provider YoY - rolling 3 months</x:v>
      </x:c>
      <x:c r="E17" s="21" t="str">
        <x:v>Redfin Data Center</x:v>
      </x:c>
      <x:c r="F17" s="29" t="str">
        <x:v>Have</x:v>
      </x:c>
      <x:c r="G17" s="21" t="str">
        <x:v>See general output tables</x:v>
      </x:c>
      <x:c r="H17" s="21" t="str">
        <x:v>Represented</x:v>
      </x:c>
      <x:c r="I17" s="21" t="str">
        <x:v>Provider/source gaps and qualifications are preserved in the canonical inventory.</x:v>
      </x:c>
      <x:c r="J17" s="21" t="str">
        <x:v>None beyond source-specific refresh and QA.</x:v>
      </x:c>
    </x:row>
    <x:row r="18" ht="64" customHeight="1">
      <x:c r="A18" s="20" t="n">
        <x:v>14</x:v>
      </x:c>
      <x:c r="B18" s="20" t="str">
        <x:v>General</x:v>
      </x:c>
      <x:c r="C18" s="20" t="str">
        <x:v>redfin_zip_pending_sales_yoy_pct_provider_rolling_3m</x:v>
      </x:c>
      <x:c r="D18" s="20" t="str">
        <x:v>Redfin ZIP pending sales provider YoY - rolling 3 months</x:v>
      </x:c>
      <x:c r="E18" s="20" t="str">
        <x:v>Redfin Data Center</x:v>
      </x:c>
      <x:c r="F18" s="29" t="str">
        <x:v>Have</x:v>
      </x:c>
      <x:c r="G18" s="20" t="str">
        <x:v>See general output tables</x:v>
      </x:c>
      <x:c r="H18" s="20" t="str">
        <x:v>Represented</x:v>
      </x:c>
      <x:c r="I18" s="20" t="str">
        <x:v>Provider/source gaps and qualifications are preserved in the canonical inventory.</x:v>
      </x:c>
      <x:c r="J18" s="20" t="str">
        <x:v>None beyond source-specific refresh and QA.</x:v>
      </x:c>
    </x:row>
    <x:row r="19" ht="64" customHeight="1">
      <x:c r="A19" s="21" t="n">
        <x:v>15</x:v>
      </x:c>
      <x:c r="B19" s="21" t="str">
        <x:v>General</x:v>
      </x:c>
      <x:c r="C19" s="21" t="str">
        <x:v>median_sale_price</x:v>
      </x:c>
      <x:c r="D19" s="21" t="str">
        <x:v>Median sale price</x:v>
      </x:c>
      <x:c r="E19" s="21" t="str">
        <x:v>Redfin Data Center</x:v>
      </x:c>
      <x:c r="F19" s="29" t="str">
        <x:v>Have</x:v>
      </x:c>
      <x:c r="G19" s="21" t="str">
        <x:v>See general output tables</x:v>
      </x:c>
      <x:c r="H19" s="21" t="str">
        <x:v>Represented</x:v>
      </x:c>
      <x:c r="I19" s="21" t="str">
        <x:v>Provider/source gaps and qualifications are preserved in the canonical inventory.</x:v>
      </x:c>
      <x:c r="J19" s="21" t="str">
        <x:v>None beyond source-specific refresh and QA.</x:v>
      </x:c>
    </x:row>
    <x:row r="20" ht="64" customHeight="1">
      <x:c r="A20" s="20" t="n">
        <x:v>16</x:v>
      </x:c>
      <x:c r="B20" s="20" t="str">
        <x:v>General</x:v>
      </x:c>
      <x:c r="C20" s="20" t="str">
        <x:v>homes_sold</x:v>
      </x:c>
      <x:c r="D20" s="20" t="str">
        <x:v>Homes sold</x:v>
      </x:c>
      <x:c r="E20" s="20" t="str">
        <x:v>Redfin Data Center</x:v>
      </x:c>
      <x:c r="F20" s="29" t="str">
        <x:v>Have</x:v>
      </x:c>
      <x:c r="G20" s="20" t="str">
        <x:v>See general output tables</x:v>
      </x:c>
      <x:c r="H20" s="20" t="str">
        <x:v>Represented</x:v>
      </x:c>
      <x:c r="I20" s="20" t="str">
        <x:v>Provider/source gaps and qualifications are preserved in the canonical inventory.</x:v>
      </x:c>
      <x:c r="J20" s="20" t="str">
        <x:v>None beyond source-specific refresh and QA.</x:v>
      </x:c>
    </x:row>
    <x:row r="21" ht="64" customHeight="1">
      <x:c r="A21" s="21" t="n">
        <x:v>17</x:v>
      </x:c>
      <x:c r="B21" s="21" t="str">
        <x:v>General</x:v>
      </x:c>
      <x:c r="C21" s="21" t="str">
        <x:v>active_inventory</x:v>
      </x:c>
      <x:c r="D21" s="21" t="str">
        <x:v>Active inventory</x:v>
      </x:c>
      <x:c r="E21" s="21" t="str">
        <x:v>Redfin Data Center</x:v>
      </x:c>
      <x:c r="F21" s="29" t="str">
        <x:v>Have</x:v>
      </x:c>
      <x:c r="G21" s="21" t="str">
        <x:v>See general output tables</x:v>
      </x:c>
      <x:c r="H21" s="21" t="str">
        <x:v>Represented</x:v>
      </x:c>
      <x:c r="I21" s="21" t="str">
        <x:v>Provider/source gaps and qualifications are preserved in the canonical inventory.</x:v>
      </x:c>
      <x:c r="J21" s="21" t="str">
        <x:v>None beyond source-specific refresh and QA.</x:v>
      </x:c>
    </x:row>
    <x:row r="22" ht="64" customHeight="1">
      <x:c r="A22" s="20" t="n">
        <x:v>18</x:v>
      </x:c>
      <x:c r="B22" s="20" t="str">
        <x:v>General</x:v>
      </x:c>
      <x:c r="C22" s="20" t="str">
        <x:v>new_listings</x:v>
      </x:c>
      <x:c r="D22" s="20" t="str">
        <x:v>New listings</x:v>
      </x:c>
      <x:c r="E22" s="20" t="str">
        <x:v>Redfin Data Center</x:v>
      </x:c>
      <x:c r="F22" s="29" t="str">
        <x:v>Have</x:v>
      </x:c>
      <x:c r="G22" s="20" t="str">
        <x:v>See general output tables</x:v>
      </x:c>
      <x:c r="H22" s="20" t="str">
        <x:v>Represented</x:v>
      </x:c>
      <x:c r="I22" s="20" t="str">
        <x:v>Provider/source gaps and qualifications are preserved in the canonical inventory.</x:v>
      </x:c>
      <x:c r="J22" s="20" t="str">
        <x:v>None beyond source-specific refresh and QA.</x:v>
      </x:c>
    </x:row>
    <x:row r="23" ht="64" customHeight="1">
      <x:c r="A23" s="21" t="n">
        <x:v>19</x:v>
      </x:c>
      <x:c r="B23" s="21" t="str">
        <x:v>General</x:v>
      </x:c>
      <x:c r="C23" s="21" t="str">
        <x:v>pending_sales</x:v>
      </x:c>
      <x:c r="D23" s="21" t="str">
        <x:v>Pending sales</x:v>
      </x:c>
      <x:c r="E23" s="21" t="str">
        <x:v>Redfin Data Center</x:v>
      </x:c>
      <x:c r="F23" s="29" t="str">
        <x:v>Have</x:v>
      </x:c>
      <x:c r="G23" s="21" t="str">
        <x:v>See general output tables</x:v>
      </x:c>
      <x:c r="H23" s="21" t="str">
        <x:v>Represented</x:v>
      </x:c>
      <x:c r="I23" s="21" t="str">
        <x:v>Provider/source gaps and qualifications are preserved in the canonical inventory.</x:v>
      </x:c>
      <x:c r="J23" s="21" t="str">
        <x:v>None beyond source-specific refresh and QA.</x:v>
      </x:c>
    </x:row>
    <x:row r="24" ht="64" customHeight="1">
      <x:c r="A24" s="20" t="n">
        <x:v>20</x:v>
      </x:c>
      <x:c r="B24" s="20" t="str">
        <x:v>General</x:v>
      </x:c>
      <x:c r="C24" s="20" t="str">
        <x:v>months_of_supply</x:v>
      </x:c>
      <x:c r="D24" s="20" t="str">
        <x:v>Months of supply</x:v>
      </x:c>
      <x:c r="E24" s="20" t="str">
        <x:v>Redfin Data Center</x:v>
      </x:c>
      <x:c r="F24" s="29" t="str">
        <x:v>Have</x:v>
      </x:c>
      <x:c r="G24" s="20" t="str">
        <x:v>See general output tables</x:v>
      </x:c>
      <x:c r="H24" s="20" t="str">
        <x:v>Represented</x:v>
      </x:c>
      <x:c r="I24" s="20" t="str">
        <x:v>Provider/source gaps and qualifications are preserved in the canonical inventory.</x:v>
      </x:c>
      <x:c r="J24" s="20" t="str">
        <x:v>None beyond source-specific refresh and QA.</x:v>
      </x:c>
    </x:row>
    <x:row r="25" ht="64" customHeight="1">
      <x:c r="A25" s="21" t="n">
        <x:v>21</x:v>
      </x:c>
      <x:c r="B25" s="21" t="str">
        <x:v>General</x:v>
      </x:c>
      <x:c r="C25" s="21" t="str">
        <x:v>days_on_market</x:v>
      </x:c>
      <x:c r="D25" s="21" t="str">
        <x:v>Median days on market</x:v>
      </x:c>
      <x:c r="E25" s="21" t="str">
        <x:v>Redfin Data Center</x:v>
      </x:c>
      <x:c r="F25" s="29" t="str">
        <x:v>Have</x:v>
      </x:c>
      <x:c r="G25" s="21" t="str">
        <x:v>See general output tables</x:v>
      </x:c>
      <x:c r="H25" s="21" t="str">
        <x:v>Represented</x:v>
      </x:c>
      <x:c r="I25" s="21" t="str">
        <x:v>Provider/source gaps and qualifications are preserved in the canonical inventory.</x:v>
      </x:c>
      <x:c r="J25" s="21" t="str">
        <x:v>None beyond source-specific refresh and QA.</x:v>
      </x:c>
    </x:row>
    <x:row r="26" ht="64" customHeight="1">
      <x:c r="A26" s="20" t="n">
        <x:v>22</x:v>
      </x:c>
      <x:c r="B26" s="20" t="str">
        <x:v>General</x:v>
      </x:c>
      <x:c r="C26" s="20" t="str">
        <x:v>price_drop_share</x:v>
      </x:c>
      <x:c r="D26" s="20" t="str">
        <x:v>Share with price drops</x:v>
      </x:c>
      <x:c r="E26" s="20" t="str">
        <x:v>Redfin Data Center</x:v>
      </x:c>
      <x:c r="F26" s="29" t="str">
        <x:v>Have</x:v>
      </x:c>
      <x:c r="G26" s="20" t="str">
        <x:v>See general output tables</x:v>
      </x:c>
      <x:c r="H26" s="20" t="str">
        <x:v>Represented</x:v>
      </x:c>
      <x:c r="I26" s="20" t="str">
        <x:v>Provider/source gaps and qualifications are preserved in the canonical inventory.</x:v>
      </x:c>
      <x:c r="J26" s="20" t="str">
        <x:v>None beyond source-specific refresh and QA.</x:v>
      </x:c>
    </x:row>
    <x:row r="27" ht="64" customHeight="1">
      <x:c r="A27" s="21" t="n">
        <x:v>23</x:v>
      </x:c>
      <x:c r="B27" s="21" t="str">
        <x:v>General</x:v>
      </x:c>
      <x:c r="C27" s="21" t="str">
        <x:v>sale_to_list_ratio</x:v>
      </x:c>
      <x:c r="D27" s="21" t="str">
        <x:v>Average sale-to-list ratio</x:v>
      </x:c>
      <x:c r="E27" s="21" t="str">
        <x:v>Redfin Data Center</x:v>
      </x:c>
      <x:c r="F27" s="29" t="str">
        <x:v>Have</x:v>
      </x:c>
      <x:c r="G27" s="21" t="str">
        <x:v>See general output tables</x:v>
      </x:c>
      <x:c r="H27" s="21" t="str">
        <x:v>Represented</x:v>
      </x:c>
      <x:c r="I27" s="21" t="str">
        <x:v>Provider/source gaps and qualifications are preserved in the canonical inventory.</x:v>
      </x:c>
      <x:c r="J27" s="21" t="str">
        <x:v>None beyond source-specific refresh and QA.</x:v>
      </x:c>
    </x:row>
    <x:row r="28" ht="64" customHeight="1">
      <x:c r="A28" s="20" t="n">
        <x:v>24</x:v>
      </x:c>
      <x:c r="B28" s="20" t="str">
        <x:v>General</x:v>
      </x:c>
      <x:c r="C28" s="20" t="str">
        <x:v>unemployment_rate</x:v>
      </x:c>
      <x:c r="D28" s="20" t="str">
        <x:v>Unemployment rate</x:v>
      </x:c>
      <x:c r="E28" s="20" t="str">
        <x:v>U.S. Bureau of Labor Statistics</x:v>
      </x:c>
      <x:c r="F28" s="29" t="str">
        <x:v>Have</x:v>
      </x:c>
      <x:c r="G28" s="20" t="str">
        <x:v>See general output tables</x:v>
      </x:c>
      <x:c r="H28" s="20" t="str">
        <x:v>Represented</x:v>
      </x:c>
      <x:c r="I28" s="20" t="str">
        <x:v>Provider/source gaps and qualifications are preserved in the canonical inventory.</x:v>
      </x:c>
      <x:c r="J28" s="20" t="str">
        <x:v>None beyond source-specific refresh and QA.</x:v>
      </x:c>
    </x:row>
    <x:row r="29" ht="64" customHeight="1">
      <x:c r="A29" s="21" t="n">
        <x:v>25</x:v>
      </x:c>
      <x:c r="B29" s="21" t="str">
        <x:v>General</x:v>
      </x:c>
      <x:c r="C29" s="21" t="str">
        <x:v>unemployment</x:v>
      </x:c>
      <x:c r="D29" s="21" t="str">
        <x:v>Unemployed persons</x:v>
      </x:c>
      <x:c r="E29" s="21" t="str">
        <x:v>U.S. Bureau of Labor Statistics</x:v>
      </x:c>
      <x:c r="F29" s="29" t="str">
        <x:v>Have</x:v>
      </x:c>
      <x:c r="G29" s="21" t="str">
        <x:v>See general output tables</x:v>
      </x:c>
      <x:c r="H29" s="21" t="str">
        <x:v>Represented</x:v>
      </x:c>
      <x:c r="I29" s="21" t="str">
        <x:v>Provider/source gaps and qualifications are preserved in the canonical inventory.</x:v>
      </x:c>
      <x:c r="J29" s="21" t="str">
        <x:v>None beyond source-specific refresh and QA.</x:v>
      </x:c>
    </x:row>
    <x:row r="30" ht="64" customHeight="1">
      <x:c r="A30" s="20" t="n">
        <x:v>26</x:v>
      </x:c>
      <x:c r="B30" s="20" t="str">
        <x:v>General</x:v>
      </x:c>
      <x:c r="C30" s="20" t="str">
        <x:v>employment</x:v>
      </x:c>
      <x:c r="D30" s="20" t="str">
        <x:v>Employed persons</x:v>
      </x:c>
      <x:c r="E30" s="20" t="str">
        <x:v>U.S. Bureau of Labor Statistics</x:v>
      </x:c>
      <x:c r="F30" s="29" t="str">
        <x:v>Have</x:v>
      </x:c>
      <x:c r="G30" s="20" t="str">
        <x:v>See general output tables</x:v>
      </x:c>
      <x:c r="H30" s="20" t="str">
        <x:v>Represented</x:v>
      </x:c>
      <x:c r="I30" s="20" t="str">
        <x:v>Provider/source gaps and qualifications are preserved in the canonical inventory.</x:v>
      </x:c>
      <x:c r="J30" s="20" t="str">
        <x:v>None beyond source-specific refresh and QA.</x:v>
      </x:c>
    </x:row>
    <x:row r="31" ht="64" customHeight="1">
      <x:c r="A31" s="21" t="n">
        <x:v>27</x:v>
      </x:c>
      <x:c r="B31" s="21" t="str">
        <x:v>General</x:v>
      </x:c>
      <x:c r="C31" s="21" t="str">
        <x:v>labor_force</x:v>
      </x:c>
      <x:c r="D31" s="21" t="str">
        <x:v>Civilian labor force</x:v>
      </x:c>
      <x:c r="E31" s="21" t="str">
        <x:v>U.S. Bureau of Labor Statistics</x:v>
      </x:c>
      <x:c r="F31" s="29" t="str">
        <x:v>Have</x:v>
      </x:c>
      <x:c r="G31" s="21" t="str">
        <x:v>See general output tables</x:v>
      </x:c>
      <x:c r="H31" s="21" t="str">
        <x:v>Represented</x:v>
      </x:c>
      <x:c r="I31" s="21" t="str">
        <x:v>Provider/source gaps and qualifications are preserved in the canonical inventory.</x:v>
      </x:c>
      <x:c r="J31" s="21" t="str">
        <x:v>None beyond source-specific refresh and QA.</x:v>
      </x:c>
    </x:row>
    <x:row r="32" ht="64" customHeight="1">
      <x:c r="A32" s="20" t="n">
        <x:v>28</x:v>
      </x:c>
      <x:c r="B32" s="20" t="str">
        <x:v>General</x:v>
      </x:c>
      <x:c r="C32" s="20" t="str">
        <x:v>mortgage_rate_30y_weekly</x:v>
      </x:c>
      <x:c r="D32" s="20" t="str">
        <x:v>30-year fixed mortgage rate weekly</x:v>
      </x:c>
      <x:c r="E32" s="20" t="str">
        <x:v>Freddie Mac</x:v>
      </x:c>
      <x:c r="F32" s="29" t="str">
        <x:v>Have</x:v>
      </x:c>
      <x:c r="G32" s="20" t="str">
        <x:v>See general output tables</x:v>
      </x:c>
      <x:c r="H32" s="20" t="str">
        <x:v>Represented</x:v>
      </x:c>
      <x:c r="I32" s="20" t="str">
        <x:v>Provider/source gaps and qualifications are preserved in the canonical inventory.</x:v>
      </x:c>
      <x:c r="J32" s="20" t="str">
        <x:v>None beyond source-specific refresh and QA.</x:v>
      </x:c>
    </x:row>
    <x:row r="33" ht="64" customHeight="1">
      <x:c r="A33" s="21" t="n">
        <x:v>29</x:v>
      </x:c>
      <x:c r="B33" s="21" t="str">
        <x:v>General</x:v>
      </x:c>
      <x:c r="C33" s="21" t="str">
        <x:v>mortgage_rate_30y_monthly_average</x:v>
      </x:c>
      <x:c r="D33" s="21" t="str">
        <x:v>30-year fixed mortgage rate monthly average</x:v>
      </x:c>
      <x:c r="E33" s="21" t="str">
        <x:v>Freddie Mac</x:v>
      </x:c>
      <x:c r="F33" s="29" t="str">
        <x:v>Have</x:v>
      </x:c>
      <x:c r="G33" s="21" t="str">
        <x:v>See general output tables</x:v>
      </x:c>
      <x:c r="H33" s="21" t="str">
        <x:v>Represented</x:v>
      </x:c>
      <x:c r="I33" s="21" t="str">
        <x:v>Provider/source gaps and qualifications are preserved in the canonical inventory.</x:v>
      </x:c>
      <x:c r="J33" s="21" t="str">
        <x:v>None beyond source-specific refresh and QA.</x:v>
      </x:c>
    </x:row>
    <x:row r="34" ht="64" customHeight="1">
      <x:c r="A34" s="20" t="n">
        <x:v>30</x:v>
      </x:c>
      <x:c r="B34" s="20" t="str">
        <x:v>General</x:v>
      </x:c>
      <x:c r="C34" s="20" t="str">
        <x:v>mortgage_rate_30y_monthly_median</x:v>
      </x:c>
      <x:c r="D34" s="20" t="str">
        <x:v>30-year fixed mortgage rate monthly median</x:v>
      </x:c>
      <x:c r="E34" s="20" t="str">
        <x:v>Freddie Mac</x:v>
      </x:c>
      <x:c r="F34" s="29" t="str">
        <x:v>Have</x:v>
      </x:c>
      <x:c r="G34" s="20" t="str">
        <x:v>See general output tables</x:v>
      </x:c>
      <x:c r="H34" s="20" t="str">
        <x:v>Represented</x:v>
      </x:c>
      <x:c r="I34" s="20" t="str">
        <x:v>Provider/source gaps and qualifications are preserved in the canonical inventory.</x:v>
      </x:c>
      <x:c r="J34" s="20" t="str">
        <x:v>None beyond source-specific refresh and QA.</x:v>
      </x:c>
    </x:row>
    <x:row r="35" ht="64" customHeight="1">
      <x:c r="A35" s="21" t="n">
        <x:v>31</x:v>
      </x:c>
      <x:c r="B35" s="21" t="str">
        <x:v>General</x:v>
      </x:c>
      <x:c r="C35" s="21" t="str">
        <x:v>mortgage_rate_30y_month_end</x:v>
      </x:c>
      <x:c r="D35" s="21" t="str">
        <x:v>30-year fixed mortgage rate month end</x:v>
      </x:c>
      <x:c r="E35" s="21" t="str">
        <x:v>Freddie Mac</x:v>
      </x:c>
      <x:c r="F35" s="29" t="str">
        <x:v>Have</x:v>
      </x:c>
      <x:c r="G35" s="21" t="str">
        <x:v>See general output tables</x:v>
      </x:c>
      <x:c r="H35" s="21" t="str">
        <x:v>Represented</x:v>
      </x:c>
      <x:c r="I35" s="21" t="str">
        <x:v>Provider/source gaps and qualifications are preserved in the canonical inventory.</x:v>
      </x:c>
      <x:c r="J35" s="21" t="str">
        <x:v>None beyond source-specific refresh and QA.</x:v>
      </x:c>
    </x:row>
    <x:row r="36" ht="64" customHeight="1">
      <x:c r="A36" s="20" t="n">
        <x:v>32</x:v>
      </x:c>
      <x:c r="B36" s="20" t="str">
        <x:v>General</x:v>
      </x:c>
      <x:c r="C36" s="20" t="str">
        <x:v>mortgage_rate_30y_observation_count</x:v>
      </x:c>
      <x:c r="D36" s="20" t="str">
        <x:v>30-year fixed mortgage rate monthly observation count</x:v>
      </x:c>
      <x:c r="E36" s="20" t="str">
        <x:v>Freddie Mac</x:v>
      </x:c>
      <x:c r="F36" s="29" t="str">
        <x:v>Have</x:v>
      </x:c>
      <x:c r="G36" s="20" t="str">
        <x:v>See general output tables</x:v>
      </x:c>
      <x:c r="H36" s="20" t="str">
        <x:v>Represented</x:v>
      </x:c>
      <x:c r="I36" s="20" t="str">
        <x:v>Provider/source gaps and qualifications are preserved in the canonical inventory.</x:v>
      </x:c>
      <x:c r="J36" s="20" t="str">
        <x:v>None beyond source-specific refresh and QA.</x:v>
      </x:c>
    </x:row>
    <x:row r="37" ht="64" customHeight="1">
      <x:c r="A37" s="21" t="n">
        <x:v>33</x:v>
      </x:c>
      <x:c r="B37" s="21" t="str">
        <x:v>General</x:v>
      </x:c>
      <x:c r="C37" s="21" t="str">
        <x:v>permits_total</x:v>
      </x:c>
      <x:c r="D37" s="21" t="str">
        <x:v>Total housing units permitted</x:v>
      </x:c>
      <x:c r="E37" s="21" t="str">
        <x:v>U.S. Census Bureau</x:v>
      </x:c>
      <x:c r="F37" s="29" t="str">
        <x:v>Have</x:v>
      </x:c>
      <x:c r="G37" s="21" t="str">
        <x:v>See general output tables</x:v>
      </x:c>
      <x:c r="H37" s="21" t="str">
        <x:v>Represented</x:v>
      </x:c>
      <x:c r="I37" s="21" t="str">
        <x:v>Provider/source gaps and qualifications are preserved in the canonical inventory.</x:v>
      </x:c>
      <x:c r="J37" s="21" t="str">
        <x:v>None beyond source-specific refresh and QA.</x:v>
      </x:c>
    </x:row>
    <x:row r="38" ht="64" customHeight="1">
      <x:c r="A38" s="20" t="n">
        <x:v>34</x:v>
      </x:c>
      <x:c r="B38" s="20" t="str">
        <x:v>General</x:v>
      </x:c>
      <x:c r="C38" s="20" t="str">
        <x:v>permits_1_unit</x:v>
      </x:c>
      <x:c r="D38" s="20" t="str">
        <x:v>One-unit housing permits</x:v>
      </x:c>
      <x:c r="E38" s="20" t="str">
        <x:v>U.S. Census Bureau</x:v>
      </x:c>
      <x:c r="F38" s="29" t="str">
        <x:v>Have</x:v>
      </x:c>
      <x:c r="G38" s="20" t="str">
        <x:v>See general output tables</x:v>
      </x:c>
      <x:c r="H38" s="20" t="str">
        <x:v>Represented</x:v>
      </x:c>
      <x:c r="I38" s="20" t="str">
        <x:v>Provider/source gaps and qualifications are preserved in the canonical inventory.</x:v>
      </x:c>
      <x:c r="J38" s="20" t="str">
        <x:v>None beyond source-specific refresh and QA.</x:v>
      </x:c>
    </x:row>
    <x:row r="39" ht="64" customHeight="1">
      <x:c r="A39" s="21" t="n">
        <x:v>35</x:v>
      </x:c>
      <x:c r="B39" s="21" t="str">
        <x:v>General</x:v>
      </x:c>
      <x:c r="C39" s="21" t="str">
        <x:v>permits_1_unit_annual_final</x:v>
      </x:c>
      <x:c r="D39" s="21" t="str">
        <x:v>One-unit housing permits, final annual</x:v>
      </x:c>
      <x:c r="E39" s="21" t="str">
        <x:v>U.S. Census Bureau</x:v>
      </x:c>
      <x:c r="F39" s="29" t="str">
        <x:v>Have</x:v>
      </x:c>
      <x:c r="G39" s="21" t="str">
        <x:v>See general output tables</x:v>
      </x:c>
      <x:c r="H39" s="21" t="str">
        <x:v>Represented</x:v>
      </x:c>
      <x:c r="I39" s="21" t="str">
        <x:v>Provider/source gaps and qualifications are preserved in the canonical inventory.</x:v>
      </x:c>
      <x:c r="J39" s="21" t="str">
        <x:v>None beyond source-specific refresh and QA.</x:v>
      </x:c>
    </x:row>
    <x:row r="40" ht="64" customHeight="1">
      <x:c r="A40" s="20" t="n">
        <x:v>36</x:v>
      </x:c>
      <x:c r="B40" s="20" t="str">
        <x:v>General</x:v>
      </x:c>
      <x:c r="C40" s="20" t="str">
        <x:v>permits_2_to_4_units</x:v>
      </x:c>
      <x:c r="D40" s="20" t="str">
        <x:v>Two-to-four-unit housing permits</x:v>
      </x:c>
      <x:c r="E40" s="20" t="str">
        <x:v>U.S. Census Bureau</x:v>
      </x:c>
      <x:c r="F40" s="29" t="str">
        <x:v>Have</x:v>
      </x:c>
      <x:c r="G40" s="20" t="str">
        <x:v>See general output tables</x:v>
      </x:c>
      <x:c r="H40" s="20" t="str">
        <x:v>Represented</x:v>
      </x:c>
      <x:c r="I40" s="20" t="str">
        <x:v>Provider/source gaps and qualifications are preserved in the canonical inventory.</x:v>
      </x:c>
      <x:c r="J40" s="20" t="str">
        <x:v>None beyond source-specific refresh and QA.</x:v>
      </x:c>
    </x:row>
    <x:row r="41" ht="64" customHeight="1">
      <x:c r="A41" s="21" t="n">
        <x:v>37</x:v>
      </x:c>
      <x:c r="B41" s="21" t="str">
        <x:v>General</x:v>
      </x:c>
      <x:c r="C41" s="21" t="str">
        <x:v>permits_5_plus_units</x:v>
      </x:c>
      <x:c r="D41" s="21" t="str">
        <x:v>Five-or-more-unit housing permits</x:v>
      </x:c>
      <x:c r="E41" s="21" t="str">
        <x:v>U.S. Census Bureau</x:v>
      </x:c>
      <x:c r="F41" s="29" t="str">
        <x:v>Have</x:v>
      </x:c>
      <x:c r="G41" s="21" t="str">
        <x:v>See general output tables</x:v>
      </x:c>
      <x:c r="H41" s="21" t="str">
        <x:v>Represented</x:v>
      </x:c>
      <x:c r="I41" s="21" t="str">
        <x:v>Provider/source gaps and qualifications are preserved in the canonical inventory.</x:v>
      </x:c>
      <x:c r="J41" s="21" t="str">
        <x:v>None beyond source-specific refresh and QA.</x:v>
      </x:c>
    </x:row>
    <x:row r="42" ht="64" customHeight="1">
      <x:c r="A42" s="20" t="n">
        <x:v>38</x:v>
      </x:c>
      <x:c r="B42" s="20" t="str">
        <x:v>General</x:v>
      </x:c>
      <x:c r="C42" s="20" t="str">
        <x:v>fhfa_hpi_ca_purchase_only_nsa</x:v>
      </x:c>
      <x:c r="D42" s="20" t="str">
        <x:v>FHFA CA purchase-only HPI NSA</x:v>
      </x:c>
      <x:c r="E42" s="20" t="str">
        <x:v>Federal Housing Finance Agency</x:v>
      </x:c>
      <x:c r="F42" s="29" t="str">
        <x:v>Have</x:v>
      </x:c>
      <x:c r="G42" s="20" t="str">
        <x:v>See general output tables</x:v>
      </x:c>
      <x:c r="H42" s="20" t="str">
        <x:v>Represented</x:v>
      </x:c>
      <x:c r="I42" s="20" t="str">
        <x:v>Provider/source gaps and qualifications are preserved in the canonical inventory.</x:v>
      </x:c>
      <x:c r="J42" s="20" t="str">
        <x:v>None beyond source-specific refresh and QA.</x:v>
      </x:c>
    </x:row>
    <x:row r="43" ht="64" customHeight="1">
      <x:c r="A43" s="21" t="n">
        <x:v>39</x:v>
      </x:c>
      <x:c r="B43" s="21" t="str">
        <x:v>General</x:v>
      </x:c>
      <x:c r="C43" s="21" t="str">
        <x:v>fhfa_hpi_ca_purchase_only_sa</x:v>
      </x:c>
      <x:c r="D43" s="21" t="str">
        <x:v>FHFA CA purchase-only HPI SA</x:v>
      </x:c>
      <x:c r="E43" s="21" t="str">
        <x:v>Federal Housing Finance Agency</x:v>
      </x:c>
      <x:c r="F43" s="29" t="str">
        <x:v>Have</x:v>
      </x:c>
      <x:c r="G43" s="21" t="str">
        <x:v>See general output tables</x:v>
      </x:c>
      <x:c r="H43" s="21" t="str">
        <x:v>Represented</x:v>
      </x:c>
      <x:c r="I43" s="21" t="str">
        <x:v>Provider/source gaps and qualifications are preserved in the canonical inventory.</x:v>
      </x:c>
      <x:c r="J43" s="21" t="str">
        <x:v>None beyond source-specific refresh and QA.</x:v>
      </x:c>
    </x:row>
    <x:row r="44" ht="64" customHeight="1">
      <x:c r="A44" s="20" t="n">
        <x:v>40</x:v>
      </x:c>
      <x:c r="B44" s="20" t="str">
        <x:v>General</x:v>
      </x:c>
      <x:c r="C44" s="20" t="str">
        <x:v>fhfa_hpi_la_metropolitan_division_purchase_only_nsa</x:v>
      </x:c>
      <x:c r="D44" s="20" t="str">
        <x:v>FHFA LA metro division purchase-only HPI NSA</x:v>
      </x:c>
      <x:c r="E44" s="20" t="str">
        <x:v>Federal Housing Finance Agency</x:v>
      </x:c>
      <x:c r="F44" s="29" t="str">
        <x:v>Have</x:v>
      </x:c>
      <x:c r="G44" s="20" t="str">
        <x:v>See general output tables</x:v>
      </x:c>
      <x:c r="H44" s="20" t="str">
        <x:v>Represented</x:v>
      </x:c>
      <x:c r="I44" s="20" t="str">
        <x:v>Provider/source gaps and qualifications are preserved in the canonical inventory.</x:v>
      </x:c>
      <x:c r="J44" s="20" t="str">
        <x:v>None beyond source-specific refresh and QA.</x:v>
      </x:c>
    </x:row>
    <x:row r="45" ht="64" customHeight="1">
      <x:c r="A45" s="21" t="n">
        <x:v>41</x:v>
      </x:c>
      <x:c r="B45" s="21" t="str">
        <x:v>General</x:v>
      </x:c>
      <x:c r="C45" s="21" t="str">
        <x:v>fhfa_hpi_la_metropolitan_division_purchase_only_sa</x:v>
      </x:c>
      <x:c r="D45" s="21" t="str">
        <x:v>FHFA LA metro division purchase-only HPI SA</x:v>
      </x:c>
      <x:c r="E45" s="21" t="str">
        <x:v>Federal Housing Finance Agency</x:v>
      </x:c>
      <x:c r="F45" s="29" t="str">
        <x:v>Have</x:v>
      </x:c>
      <x:c r="G45" s="21" t="str">
        <x:v>See general output tables</x:v>
      </x:c>
      <x:c r="H45" s="21" t="str">
        <x:v>Represented</x:v>
      </x:c>
      <x:c r="I45" s="21" t="str">
        <x:v>Provider/source gaps and qualifications are preserved in the canonical inventory.</x:v>
      </x:c>
      <x:c r="J45" s="21" t="str">
        <x:v>None beyond source-specific refresh and QA.</x:v>
      </x:c>
    </x:row>
    <x:row r="46" ht="64" customHeight="1">
      <x:c r="A46" s="20" t="n">
        <x:v>42</x:v>
      </x:c>
      <x:c r="B46" s="20" t="str">
        <x:v>General</x:v>
      </x:c>
      <x:c r="C46" s="20" t="str">
        <x:v>fhfa_hpi_la_county_all_transactions_nsa_annual</x:v>
      </x:c>
      <x:c r="D46" s="20" t="str">
        <x:v>FHFA LA County annual all-transactions HPI NSA</x:v>
      </x:c>
      <x:c r="E46" s="20" t="str">
        <x:v>Federal Housing Finance Agency</x:v>
      </x:c>
      <x:c r="F46" s="29" t="str">
        <x:v>Have</x:v>
      </x:c>
      <x:c r="G46" s="20" t="str">
        <x:v>See general output tables</x:v>
      </x:c>
      <x:c r="H46" s="20" t="str">
        <x:v>Represented</x:v>
      </x:c>
      <x:c r="I46" s="20" t="str">
        <x:v>Provider/source gaps and qualifications are preserved in the canonical inventory.</x:v>
      </x:c>
      <x:c r="J46" s="20" t="str">
        <x:v>None beyond source-specific refresh and QA.</x:v>
      </x:c>
    </x:row>
    <x:row r="47" ht="64" customHeight="1">
      <x:c r="A47" s="21" t="n">
        <x:v>43</x:v>
      </x:c>
      <x:c r="B47" s="21" t="str">
        <x:v>General</x:v>
      </x:c>
      <x:c r="C47" s="21" t="str">
        <x:v>bea_ca_personal_income_q_sa</x:v>
      </x:c>
      <x:c r="D47" s="21" t="str">
        <x:v>BEA California quarterly personal income SAAR</x:v>
      </x:c>
      <x:c r="E47" s="21" t="str">
        <x:v>U.S. Bureau of Economic Analysis</x:v>
      </x:c>
      <x:c r="F47" s="29" t="str">
        <x:v>Have</x:v>
      </x:c>
      <x:c r="G47" s="21" t="str">
        <x:v>See general output tables</x:v>
      </x:c>
      <x:c r="H47" s="21" t="str">
        <x:v>Represented</x:v>
      </x:c>
      <x:c r="I47" s="21" t="str">
        <x:v>Provider/source gaps and qualifications are preserved in the canonical inventory.</x:v>
      </x:c>
      <x:c r="J47" s="21" t="str">
        <x:v>None beyond source-specific refresh and QA.</x:v>
      </x:c>
    </x:row>
    <x:row r="48" ht="64" customHeight="1">
      <x:c r="A48" s="20" t="n">
        <x:v>44</x:v>
      </x:c>
      <x:c r="B48" s="20" t="str">
        <x:v>General</x:v>
      </x:c>
      <x:c r="C48" s="20" t="str">
        <x:v>bea_ca_per_capita_personal_income_q_sa</x:v>
      </x:c>
      <x:c r="D48" s="20" t="str">
        <x:v>BEA California quarterly per-capita personal income SAAR</x:v>
      </x:c>
      <x:c r="E48" s="20" t="str">
        <x:v>U.S. Bureau of Economic Analysis</x:v>
      </x:c>
      <x:c r="F48" s="29" t="str">
        <x:v>Have</x:v>
      </x:c>
      <x:c r="G48" s="20" t="str">
        <x:v>See general output tables</x:v>
      </x:c>
      <x:c r="H48" s="20" t="str">
        <x:v>Represented</x:v>
      </x:c>
      <x:c r="I48" s="20" t="str">
        <x:v>Provider/source gaps and qualifications are preserved in the canonical inventory.</x:v>
      </x:c>
      <x:c r="J48" s="20" t="str">
        <x:v>None beyond source-specific refresh and QA.</x:v>
      </x:c>
    </x:row>
    <x:row r="49" ht="64" customHeight="1">
      <x:c r="A49" s="21" t="n">
        <x:v>45</x:v>
      </x:c>
      <x:c r="B49" s="21" t="str">
        <x:v>General</x:v>
      </x:c>
      <x:c r="C49" s="21" t="str">
        <x:v>bea_la_county_personal_income_annual</x:v>
      </x:c>
      <x:c r="D49" s="21" t="str">
        <x:v>BEA LA County annual personal income</x:v>
      </x:c>
      <x:c r="E49" s="21" t="str">
        <x:v>U.S. Bureau of Economic Analysis</x:v>
      </x:c>
      <x:c r="F49" s="29" t="str">
        <x:v>Have</x:v>
      </x:c>
      <x:c r="G49" s="21" t="str">
        <x:v>See general output tables</x:v>
      </x:c>
      <x:c r="H49" s="21" t="str">
        <x:v>Represented</x:v>
      </x:c>
      <x:c r="I49" s="21" t="str">
        <x:v>Provider/source gaps and qualifications are preserved in the canonical inventory.</x:v>
      </x:c>
      <x:c r="J49" s="21" t="str">
        <x:v>None beyond source-specific refresh and QA.</x:v>
      </x:c>
    </x:row>
    <x:row r="50" ht="64" customHeight="1">
      <x:c r="A50" s="20" t="n">
        <x:v>46</x:v>
      </x:c>
      <x:c r="B50" s="20" t="str">
        <x:v>General</x:v>
      </x:c>
      <x:c r="C50" s="20" t="str">
        <x:v>bea_la_county_per_capita_personal_income_annual</x:v>
      </x:c>
      <x:c r="D50" s="20" t="str">
        <x:v>BEA LA County annual per-capita personal income</x:v>
      </x:c>
      <x:c r="E50" s="20" t="str">
        <x:v>U.S. Bureau of Economic Analysis</x:v>
      </x:c>
      <x:c r="F50" s="29" t="str">
        <x:v>Have</x:v>
      </x:c>
      <x:c r="G50" s="20" t="str">
        <x:v>See general output tables</x:v>
      </x:c>
      <x:c r="H50" s="20" t="str">
        <x:v>Represented</x:v>
      </x:c>
      <x:c r="I50" s="20" t="str">
        <x:v>Provider/source gaps and qualifications are preserved in the canonical inventory.</x:v>
      </x:c>
      <x:c r="J50" s="20" t="str">
        <x:v>None beyond source-specific refresh and QA.</x:v>
      </x:c>
    </x:row>
    <x:row r="51" ht="64" customHeight="1">
      <x:c r="A51" s="21" t="n">
        <x:v>47</x:v>
      </x:c>
      <x:c r="B51" s="21" t="str">
        <x:v>General</x:v>
      </x:c>
      <x:c r="C51" s="21" t="str">
        <x:v>irs_soi_in_migration_returns</x:v>
      </x:c>
      <x:c r="D51" s="21" t="str">
        <x:v>IRS SOI LA County in-migration returns</x:v>
      </x:c>
      <x:c r="E51" s="21" t="str">
        <x:v>Internal Revenue Service</x:v>
      </x:c>
      <x:c r="F51" s="29" t="str">
        <x:v>Have</x:v>
      </x:c>
      <x:c r="G51" s="21" t="str">
        <x:v>See general output tables</x:v>
      </x:c>
      <x:c r="H51" s="21" t="str">
        <x:v>Represented</x:v>
      </x:c>
      <x:c r="I51" s="21" t="str">
        <x:v>Provider/source gaps and qualifications are preserved in the canonical inventory.</x:v>
      </x:c>
      <x:c r="J51" s="21" t="str">
        <x:v>None beyond source-specific refresh and QA.</x:v>
      </x:c>
    </x:row>
    <x:row r="52" ht="64" customHeight="1">
      <x:c r="A52" s="20" t="n">
        <x:v>48</x:v>
      </x:c>
      <x:c r="B52" s="20" t="str">
        <x:v>General</x:v>
      </x:c>
      <x:c r="C52" s="20" t="str">
        <x:v>irs_soi_out_migration_returns</x:v>
      </x:c>
      <x:c r="D52" s="20" t="str">
        <x:v>IRS SOI LA County out-migration returns</x:v>
      </x:c>
      <x:c r="E52" s="20" t="str">
        <x:v>Internal Revenue Service</x:v>
      </x:c>
      <x:c r="F52" s="29" t="str">
        <x:v>Have</x:v>
      </x:c>
      <x:c r="G52" s="20" t="str">
        <x:v>See general output tables</x:v>
      </x:c>
      <x:c r="H52" s="20" t="str">
        <x:v>Represented</x:v>
      </x:c>
      <x:c r="I52" s="20" t="str">
        <x:v>Provider/source gaps and qualifications are preserved in the canonical inventory.</x:v>
      </x:c>
      <x:c r="J52" s="20" t="str">
        <x:v>None beyond source-specific refresh and QA.</x:v>
      </x:c>
    </x:row>
    <x:row r="53" ht="64" customHeight="1">
      <x:c r="A53" s="21" t="n">
        <x:v>49</x:v>
      </x:c>
      <x:c r="B53" s="21" t="str">
        <x:v>General</x:v>
      </x:c>
      <x:c r="C53" s="21" t="str">
        <x:v>irs_soi_net_migration_returns</x:v>
      </x:c>
      <x:c r="D53" s="21" t="str">
        <x:v>IRS SOI LA County net migration returns</x:v>
      </x:c>
      <x:c r="E53" s="21" t="str">
        <x:v>Internal Revenue Service</x:v>
      </x:c>
      <x:c r="F53" s="29" t="str">
        <x:v>Have</x:v>
      </x:c>
      <x:c r="G53" s="21" t="str">
        <x:v>See general output tables</x:v>
      </x:c>
      <x:c r="H53" s="21" t="str">
        <x:v>Represented</x:v>
      </x:c>
      <x:c r="I53" s="21" t="str">
        <x:v>Provider/source gaps and qualifications are preserved in the canonical inventory.</x:v>
      </x:c>
      <x:c r="J53" s="21" t="str">
        <x:v>None beyond source-specific refresh and QA.</x:v>
      </x:c>
    </x:row>
    <x:row r="54" ht="64" customHeight="1">
      <x:c r="A54" s="20" t="n">
        <x:v>50</x:v>
      </x:c>
      <x:c r="B54" s="20" t="str">
        <x:v>General</x:v>
      </x:c>
      <x:c r="C54" s="20" t="str">
        <x:v>irs_soi_in_migration_exemptions</x:v>
      </x:c>
      <x:c r="D54" s="20" t="str">
        <x:v>IRS SOI LA County in-migration exemptions</x:v>
      </x:c>
      <x:c r="E54" s="20" t="str">
        <x:v>Internal Revenue Service</x:v>
      </x:c>
      <x:c r="F54" s="29" t="str">
        <x:v>Have</x:v>
      </x:c>
      <x:c r="G54" s="20" t="str">
        <x:v>See general output tables</x:v>
      </x:c>
      <x:c r="H54" s="20" t="str">
        <x:v>Represented</x:v>
      </x:c>
      <x:c r="I54" s="20" t="str">
        <x:v>Provider/source gaps and qualifications are preserved in the canonical inventory.</x:v>
      </x:c>
      <x:c r="J54" s="20" t="str">
        <x:v>None beyond source-specific refresh and QA.</x:v>
      </x:c>
    </x:row>
    <x:row r="55" ht="64" customHeight="1">
      <x:c r="A55" s="21" t="n">
        <x:v>51</x:v>
      </x:c>
      <x:c r="B55" s="21" t="str">
        <x:v>General</x:v>
      </x:c>
      <x:c r="C55" s="21" t="str">
        <x:v>irs_soi_out_migration_exemptions</x:v>
      </x:c>
      <x:c r="D55" s="21" t="str">
        <x:v>IRS SOI LA County out-migration exemptions</x:v>
      </x:c>
      <x:c r="E55" s="21" t="str">
        <x:v>Internal Revenue Service</x:v>
      </x:c>
      <x:c r="F55" s="29" t="str">
        <x:v>Have</x:v>
      </x:c>
      <x:c r="G55" s="21" t="str">
        <x:v>See general output tables</x:v>
      </x:c>
      <x:c r="H55" s="21" t="str">
        <x:v>Represented</x:v>
      </x:c>
      <x:c r="I55" s="21" t="str">
        <x:v>Provider/source gaps and qualifications are preserved in the canonical inventory.</x:v>
      </x:c>
      <x:c r="J55" s="21" t="str">
        <x:v>None beyond source-specific refresh and QA.</x:v>
      </x:c>
    </x:row>
    <x:row r="56" ht="64" customHeight="1">
      <x:c r="A56" s="20" t="n">
        <x:v>52</x:v>
      </x:c>
      <x:c r="B56" s="20" t="str">
        <x:v>General</x:v>
      </x:c>
      <x:c r="C56" s="20" t="str">
        <x:v>irs_soi_net_migration_exemptions</x:v>
      </x:c>
      <x:c r="D56" s="20" t="str">
        <x:v>IRS SOI LA County net migration exemptions</x:v>
      </x:c>
      <x:c r="E56" s="20" t="str">
        <x:v>Internal Revenue Service</x:v>
      </x:c>
      <x:c r="F56" s="29" t="str">
        <x:v>Have</x:v>
      </x:c>
      <x:c r="G56" s="20" t="str">
        <x:v>See general output tables</x:v>
      </x:c>
      <x:c r="H56" s="20" t="str">
        <x:v>Represented</x:v>
      </x:c>
      <x:c r="I56" s="20" t="str">
        <x:v>Provider/source gaps and qualifications are preserved in the canonical inventory.</x:v>
      </x:c>
      <x:c r="J56" s="20" t="str">
        <x:v>None beyond source-specific refresh and QA.</x:v>
      </x:c>
    </x:row>
    <x:row r="57" ht="64" customHeight="1">
      <x:c r="A57" s="21" t="n">
        <x:v>53</x:v>
      </x:c>
      <x:c r="B57" s="21" t="str">
        <x:v>General</x:v>
      </x:c>
      <x:c r="C57" s="21" t="str">
        <x:v>irs_soi_in_migration_agi</x:v>
      </x:c>
      <x:c r="D57" s="21" t="str">
        <x:v>IRS SOI LA County in-migration AGI</x:v>
      </x:c>
      <x:c r="E57" s="21" t="str">
        <x:v>Internal Revenue Service</x:v>
      </x:c>
      <x:c r="F57" s="29" t="str">
        <x:v>Have</x:v>
      </x:c>
      <x:c r="G57" s="21" t="str">
        <x:v>See general output tables</x:v>
      </x:c>
      <x:c r="H57" s="21" t="str">
        <x:v>Represented</x:v>
      </x:c>
      <x:c r="I57" s="21" t="str">
        <x:v>Provider/source gaps and qualifications are preserved in the canonical inventory.</x:v>
      </x:c>
      <x:c r="J57" s="21" t="str">
        <x:v>None beyond source-specific refresh and QA.</x:v>
      </x:c>
    </x:row>
    <x:row r="58" ht="64" customHeight="1">
      <x:c r="A58" s="20" t="n">
        <x:v>54</x:v>
      </x:c>
      <x:c r="B58" s="20" t="str">
        <x:v>General</x:v>
      </x:c>
      <x:c r="C58" s="20" t="str">
        <x:v>irs_soi_out_migration_agi</x:v>
      </x:c>
      <x:c r="D58" s="20" t="str">
        <x:v>IRS SOI LA County out-migration AGI</x:v>
      </x:c>
      <x:c r="E58" s="20" t="str">
        <x:v>Internal Revenue Service</x:v>
      </x:c>
      <x:c r="F58" s="29" t="str">
        <x:v>Have</x:v>
      </x:c>
      <x:c r="G58" s="20" t="str">
        <x:v>See general output tables</x:v>
      </x:c>
      <x:c r="H58" s="20" t="str">
        <x:v>Represented</x:v>
      </x:c>
      <x:c r="I58" s="20" t="str">
        <x:v>Provider/source gaps and qualifications are preserved in the canonical inventory.</x:v>
      </x:c>
      <x:c r="J58" s="20" t="str">
        <x:v>None beyond source-specific refresh and QA.</x:v>
      </x:c>
    </x:row>
    <x:row r="59" ht="64" customHeight="1">
      <x:c r="A59" s="21" t="n">
        <x:v>55</x:v>
      </x:c>
      <x:c r="B59" s="21" t="str">
        <x:v>General</x:v>
      </x:c>
      <x:c r="C59" s="21" t="str">
        <x:v>irs_soi_net_migration_agi</x:v>
      </x:c>
      <x:c r="D59" s="21" t="str">
        <x:v>IRS SOI LA County net migration AGI</x:v>
      </x:c>
      <x:c r="E59" s="21" t="str">
        <x:v>Internal Revenue Service</x:v>
      </x:c>
      <x:c r="F59" s="29" t="str">
        <x:v>Have</x:v>
      </x:c>
      <x:c r="G59" s="21" t="str">
        <x:v>See general output tables</x:v>
      </x:c>
      <x:c r="H59" s="21" t="str">
        <x:v>Represented</x:v>
      </x:c>
      <x:c r="I59" s="21" t="str">
        <x:v>Provider/source gaps and qualifications are preserved in the canonical inventory.</x:v>
      </x:c>
      <x:c r="J59" s="21" t="str">
        <x:v>None beyond source-specific refresh and QA.</x:v>
      </x:c>
    </x:row>
    <x:row r="60" ht="64" customHeight="1">
      <x:c r="A60" s="20" t="n">
        <x:v>56</x:v>
      </x:c>
      <x:c r="B60" s="20" t="str">
        <x:v>General</x:v>
      </x:c>
      <x:c r="C60" s="20" t="str">
        <x:v>hvs_rental_vacancy_rate_ca</x:v>
      </x:c>
      <x:c r="D60" s="20" t="str">
        <x:v>HVS California rental vacancy rate</x:v>
      </x:c>
      <x:c r="E60" s="20" t="str">
        <x:v>U.S. Census Bureau</x:v>
      </x:c>
      <x:c r="F60" s="29" t="str">
        <x:v>Have</x:v>
      </x:c>
      <x:c r="G60" s="20" t="str">
        <x:v>See general output tables</x:v>
      </x:c>
      <x:c r="H60" s="20" t="str">
        <x:v>Represented</x:v>
      </x:c>
      <x:c r="I60" s="20" t="str">
        <x:v>Provider/source gaps and qualifications are preserved in the canonical inventory.</x:v>
      </x:c>
      <x:c r="J60" s="20" t="str">
        <x:v>None beyond source-specific refresh and QA.</x:v>
      </x:c>
    </x:row>
    <x:row r="61" ht="64" customHeight="1">
      <x:c r="A61" s="21" t="n">
        <x:v>57</x:v>
      </x:c>
      <x:c r="B61" s="21" t="str">
        <x:v>General</x:v>
      </x:c>
      <x:c r="C61" s="21" t="str">
        <x:v>hvs_rental_vacancy_rate_ca_moe</x:v>
      </x:c>
      <x:c r="D61" s="21" t="str">
        <x:v>HVS California rental vacancy rate MOE</x:v>
      </x:c>
      <x:c r="E61" s="21" t="str">
        <x:v>U.S. Census Bureau</x:v>
      </x:c>
      <x:c r="F61" s="29" t="str">
        <x:v>Have</x:v>
      </x:c>
      <x:c r="G61" s="21" t="str">
        <x:v>See general output tables</x:v>
      </x:c>
      <x:c r="H61" s="21" t="str">
        <x:v>Represented</x:v>
      </x:c>
      <x:c r="I61" s="21" t="str">
        <x:v>Provider/source gaps and qualifications are preserved in the canonical inventory.</x:v>
      </x:c>
      <x:c r="J61" s="21" t="str">
        <x:v>None beyond source-specific refresh and QA.</x:v>
      </x:c>
    </x:row>
    <x:row r="62" ht="64" customHeight="1">
      <x:c r="A62" s="20" t="n">
        <x:v>58</x:v>
      </x:c>
      <x:c r="B62" s="20" t="str">
        <x:v>General</x:v>
      </x:c>
      <x:c r="C62" s="20" t="str">
        <x:v>hvs_rental_vacancy_rate_la_metro</x:v>
      </x:c>
      <x:c r="D62" s="20" t="str">
        <x:v>HVS LA metro rental vacancy rate</x:v>
      </x:c>
      <x:c r="E62" s="20" t="str">
        <x:v>U.S. Census Bureau</x:v>
      </x:c>
      <x:c r="F62" s="29" t="str">
        <x:v>Have</x:v>
      </x:c>
      <x:c r="G62" s="20" t="str">
        <x:v>See general output tables</x:v>
      </x:c>
      <x:c r="H62" s="20" t="str">
        <x:v>Represented</x:v>
      </x:c>
      <x:c r="I62" s="20" t="str">
        <x:v>Provider/source gaps and qualifications are preserved in the canonical inventory.</x:v>
      </x:c>
      <x:c r="J62" s="20" t="str">
        <x:v>None beyond source-specific refresh and QA.</x:v>
      </x:c>
    </x:row>
    <x:row r="63" ht="64" customHeight="1">
      <x:c r="A63" s="21" t="n">
        <x:v>59</x:v>
      </x:c>
      <x:c r="B63" s="21" t="str">
        <x:v>General</x:v>
      </x:c>
      <x:c r="C63" s="21" t="str">
        <x:v>hvs_rental_vacancy_rate_la_metro_moe</x:v>
      </x:c>
      <x:c r="D63" s="21" t="str">
        <x:v>HVS LA metro rental vacancy rate MOE</x:v>
      </x:c>
      <x:c r="E63" s="21" t="str">
        <x:v>U.S. Census Bureau</x:v>
      </x:c>
      <x:c r="F63" s="29" t="str">
        <x:v>Have</x:v>
      </x:c>
      <x:c r="G63" s="21" t="str">
        <x:v>See general output tables</x:v>
      </x:c>
      <x:c r="H63" s="21" t="str">
        <x:v>Represented</x:v>
      </x:c>
      <x:c r="I63" s="21" t="str">
        <x:v>Provider/source gaps and qualifications are preserved in the canonical inventory.</x:v>
      </x:c>
      <x:c r="J63" s="21" t="str">
        <x:v>None beyond source-specific refresh and QA.</x:v>
      </x:c>
    </x:row>
    <x:row r="64" ht="64" customHeight="1">
      <x:c r="A64" s="20" t="n">
        <x:v>60</x:v>
      </x:c>
      <x:c r="B64" s="20" t="str">
        <x:v>General</x:v>
      </x:c>
      <x:c r="C64" s="20" t="str">
        <x:v>ces_total_nonfarm_employment_sa</x:v>
      </x:c>
      <x:c r="D64" s="20" t="str">
        <x:v>BLS CES LA metro total nonfarm employment SA</x:v>
      </x:c>
      <x:c r="E64" s="20" t="str">
        <x:v>U.S. Bureau of Labor Statistics</x:v>
      </x:c>
      <x:c r="F64" s="29" t="str">
        <x:v>Have</x:v>
      </x:c>
      <x:c r="G64" s="20" t="str">
        <x:v>See general output tables</x:v>
      </x:c>
      <x:c r="H64" s="20" t="str">
        <x:v>Represented</x:v>
      </x:c>
      <x:c r="I64" s="20" t="str">
        <x:v>Provider/source gaps and qualifications are preserved in the canonical inventory.</x:v>
      </x:c>
      <x:c r="J64" s="20" t="str">
        <x:v>None beyond source-specific refresh and QA.</x:v>
      </x:c>
    </x:row>
    <x:row r="65" ht="64" customHeight="1">
      <x:c r="A65" s="21" t="n">
        <x:v>61</x:v>
      </x:c>
      <x:c r="B65" s="21" t="str">
        <x:v>General</x:v>
      </x:c>
      <x:c r="C65" s="21" t="str">
        <x:v>cpi_u_all_items_la_nsa</x:v>
      </x:c>
      <x:c r="D65" s="21" t="str">
        <x:v>BLS CPI-U LA metro all items NSA</x:v>
      </x:c>
      <x:c r="E65" s="21" t="str">
        <x:v>U.S. Bureau of Labor Statistics</x:v>
      </x:c>
      <x:c r="F65" s="29" t="str">
        <x:v>Have</x:v>
      </x:c>
      <x:c r="G65" s="21" t="str">
        <x:v>See general output tables</x:v>
      </x:c>
      <x:c r="H65" s="21" t="str">
        <x:v>Represented</x:v>
      </x:c>
      <x:c r="I65" s="21" t="str">
        <x:v>Provider/source gaps and qualifications are preserved in the canonical inventory.</x:v>
      </x:c>
      <x:c r="J65" s="21" t="str">
        <x:v>None beyond source-specific refresh and QA.</x:v>
      </x:c>
    </x:row>
    <x:row r="66" ht="64" customHeight="1">
      <x:c r="A66" s="20" t="n">
        <x:v>62</x:v>
      </x:c>
      <x:c r="B66" s="20" t="str">
        <x:v>General</x:v>
      </x:c>
      <x:c r="C66" s="20" t="str">
        <x:v>acs_households</x:v>
      </x:c>
      <x:c r="D66" s="20" t="str">
        <x:v>ACS households</x:v>
      </x:c>
      <x:c r="E66" s="20" t="str">
        <x:v>U.S. Census Bureau</x:v>
      </x:c>
      <x:c r="F66" s="29" t="str">
        <x:v>Have</x:v>
      </x:c>
      <x:c r="G66" s="20" t="str">
        <x:v>See general output tables</x:v>
      </x:c>
      <x:c r="H66" s="20" t="str">
        <x:v>Represented</x:v>
      </x:c>
      <x:c r="I66" s="20" t="str">
        <x:v>Provider/source gaps and qualifications are preserved in the canonical inventory.</x:v>
      </x:c>
      <x:c r="J66" s="20" t="str">
        <x:v>None beyond source-specific refresh and QA.</x:v>
      </x:c>
    </x:row>
    <x:row r="67" ht="64" customHeight="1">
      <x:c r="A67" s="21" t="n">
        <x:v>63</x:v>
      </x:c>
      <x:c r="B67" s="21" t="str">
        <x:v>General</x:v>
      </x:c>
      <x:c r="C67" s="21" t="str">
        <x:v>acs_households_moe</x:v>
      </x:c>
      <x:c r="D67" s="21" t="str">
        <x:v>ACS households MOE</x:v>
      </x:c>
      <x:c r="E67" s="21" t="str">
        <x:v>U.S. Census Bureau</x:v>
      </x:c>
      <x:c r="F67" s="29" t="str">
        <x:v>Have</x:v>
      </x:c>
      <x:c r="G67" s="21" t="str">
        <x:v>See general output tables</x:v>
      </x:c>
      <x:c r="H67" s="21" t="str">
        <x:v>Represented</x:v>
      </x:c>
      <x:c r="I67" s="21" t="str">
        <x:v>Provider/source gaps and qualifications are preserved in the canonical inventory.</x:v>
      </x:c>
      <x:c r="J67" s="21" t="str">
        <x:v>None beyond source-specific refresh and QA.</x:v>
      </x:c>
    </x:row>
    <x:row r="68" ht="64" customHeight="1">
      <x:c r="A68" s="20" t="n">
        <x:v>64</x:v>
      </x:c>
      <x:c r="B68" s="20" t="str">
        <x:v>General</x:v>
      </x:c>
      <x:c r="C68" s="20" t="str">
        <x:v>acs_median_household_income</x:v>
      </x:c>
      <x:c r="D68" s="20" t="str">
        <x:v>ACS median household income</x:v>
      </x:c>
      <x:c r="E68" s="20" t="str">
        <x:v>U.S. Census Bureau</x:v>
      </x:c>
      <x:c r="F68" s="29" t="str">
        <x:v>Have</x:v>
      </x:c>
      <x:c r="G68" s="20" t="str">
        <x:v>See general output tables</x:v>
      </x:c>
      <x:c r="H68" s="20" t="str">
        <x:v>Represented</x:v>
      </x:c>
      <x:c r="I68" s="20" t="str">
        <x:v>Provider/source gaps and qualifications are preserved in the canonical inventory.</x:v>
      </x:c>
      <x:c r="J68" s="20" t="str">
        <x:v>None beyond source-specific refresh and QA.</x:v>
      </x:c>
    </x:row>
    <x:row r="69" ht="64" customHeight="1">
      <x:c r="A69" s="21" t="n">
        <x:v>65</x:v>
      </x:c>
      <x:c r="B69" s="21" t="str">
        <x:v>General</x:v>
      </x:c>
      <x:c r="C69" s="21" t="str">
        <x:v>acs_median_household_income_moe</x:v>
      </x:c>
      <x:c r="D69" s="21" t="str">
        <x:v>ACS median household income MOE</x:v>
      </x:c>
      <x:c r="E69" s="21" t="str">
        <x:v>U.S. Census Bureau</x:v>
      </x:c>
      <x:c r="F69" s="29" t="str">
        <x:v>Have</x:v>
      </x:c>
      <x:c r="G69" s="21" t="str">
        <x:v>See general output tables</x:v>
      </x:c>
      <x:c r="H69" s="21" t="str">
        <x:v>Represented</x:v>
      </x:c>
      <x:c r="I69" s="21" t="str">
        <x:v>Provider/source gaps and qualifications are preserved in the canonical inventory.</x:v>
      </x:c>
      <x:c r="J69" s="21" t="str">
        <x:v>None beyond source-specific refresh and QA.</x:v>
      </x:c>
    </x:row>
    <x:row r="70" ht="64" customHeight="1">
      <x:c r="A70" s="20" t="n">
        <x:v>66</x:v>
      </x:c>
      <x:c r="B70" s="20" t="str">
        <x:v>General</x:v>
      </x:c>
      <x:c r="C70" s="20" t="str">
        <x:v>acs_total_housing_units</x:v>
      </x:c>
      <x:c r="D70" s="20" t="str">
        <x:v>ACS total housing units</x:v>
      </x:c>
      <x:c r="E70" s="20" t="str">
        <x:v>U.S. Census Bureau</x:v>
      </x:c>
      <x:c r="F70" s="29" t="str">
        <x:v>Have</x:v>
      </x:c>
      <x:c r="G70" s="20" t="str">
        <x:v>See general output tables</x:v>
      </x:c>
      <x:c r="H70" s="20" t="str">
        <x:v>Represented</x:v>
      </x:c>
      <x:c r="I70" s="20" t="str">
        <x:v>Provider/source gaps and qualifications are preserved in the canonical inventory.</x:v>
      </x:c>
      <x:c r="J70" s="20" t="str">
        <x:v>None beyond source-specific refresh and QA.</x:v>
      </x:c>
    </x:row>
    <x:row r="71" ht="64" customHeight="1">
      <x:c r="A71" s="21" t="n">
        <x:v>67</x:v>
      </x:c>
      <x:c r="B71" s="21" t="str">
        <x:v>General</x:v>
      </x:c>
      <x:c r="C71" s="21" t="str">
        <x:v>acs_total_housing_units_moe</x:v>
      </x:c>
      <x:c r="D71" s="21" t="str">
        <x:v>ACS total housing units MOE</x:v>
      </x:c>
      <x:c r="E71" s="21" t="str">
        <x:v>U.S. Census Bureau</x:v>
      </x:c>
      <x:c r="F71" s="29" t="str">
        <x:v>Have</x:v>
      </x:c>
      <x:c r="G71" s="21" t="str">
        <x:v>See general output tables</x:v>
      </x:c>
      <x:c r="H71" s="21" t="str">
        <x:v>Represented</x:v>
      </x:c>
      <x:c r="I71" s="21" t="str">
        <x:v>Provider/source gaps and qualifications are preserved in the canonical inventory.</x:v>
      </x:c>
      <x:c r="J71" s="21" t="str">
        <x:v>None beyond source-specific refresh and QA.</x:v>
      </x:c>
    </x:row>
    <x:row r="72" ht="64" customHeight="1">
      <x:c r="A72" s="20" t="n">
        <x:v>68</x:v>
      </x:c>
      <x:c r="B72" s="20" t="str">
        <x:v>General</x:v>
      </x:c>
      <x:c r="C72" s="20" t="str">
        <x:v>acs_vacant_housing_units</x:v>
      </x:c>
      <x:c r="D72" s="20" t="str">
        <x:v>ACS vacant housing units</x:v>
      </x:c>
      <x:c r="E72" s="20" t="str">
        <x:v>U.S. Census Bureau</x:v>
      </x:c>
      <x:c r="F72" s="29" t="str">
        <x:v>Have</x:v>
      </x:c>
      <x:c r="G72" s="20" t="str">
        <x:v>See general output tables</x:v>
      </x:c>
      <x:c r="H72" s="20" t="str">
        <x:v>Represented</x:v>
      </x:c>
      <x:c r="I72" s="20" t="str">
        <x:v>Provider/source gaps and qualifications are preserved in the canonical inventory.</x:v>
      </x:c>
      <x:c r="J72" s="20" t="str">
        <x:v>None beyond source-specific refresh and QA.</x:v>
      </x:c>
    </x:row>
    <x:row r="73" ht="64" customHeight="1">
      <x:c r="A73" s="21" t="n">
        <x:v>69</x:v>
      </x:c>
      <x:c r="B73" s="21" t="str">
        <x:v>General</x:v>
      </x:c>
      <x:c r="C73" s="21" t="str">
        <x:v>acs_vacant_housing_units_moe</x:v>
      </x:c>
      <x:c r="D73" s="21" t="str">
        <x:v>ACS vacant housing units MOE</x:v>
      </x:c>
      <x:c r="E73" s="21" t="str">
        <x:v>U.S. Census Bureau</x:v>
      </x:c>
      <x:c r="F73" s="29" t="str">
        <x:v>Have</x:v>
      </x:c>
      <x:c r="G73" s="21" t="str">
        <x:v>See general output tables</x:v>
      </x:c>
      <x:c r="H73" s="21" t="str">
        <x:v>Represented</x:v>
      </x:c>
      <x:c r="I73" s="21" t="str">
        <x:v>Provider/source gaps and qualifications are preserved in the canonical inventory.</x:v>
      </x:c>
      <x:c r="J73" s="21" t="str">
        <x:v>None beyond source-specific refresh and QA.</x:v>
      </x:c>
    </x:row>
    <x:row r="74" ht="64" customHeight="1">
      <x:c r="A74" s="20" t="n">
        <x:v>70</x:v>
      </x:c>
      <x:c r="B74" s="20" t="str">
        <x:v>General</x:v>
      </x:c>
      <x:c r="C74" s="20" t="str">
        <x:v>acs_owner_occupied_units</x:v>
      </x:c>
      <x:c r="D74" s="20" t="str">
        <x:v>ACS owner-occupied units</x:v>
      </x:c>
      <x:c r="E74" s="20" t="str">
        <x:v>U.S. Census Bureau</x:v>
      </x:c>
      <x:c r="F74" s="29" t="str">
        <x:v>Have</x:v>
      </x:c>
      <x:c r="G74" s="20" t="str">
        <x:v>See general output tables</x:v>
      </x:c>
      <x:c r="H74" s="20" t="str">
        <x:v>Represented</x:v>
      </x:c>
      <x:c r="I74" s="20" t="str">
        <x:v>Provider/source gaps and qualifications are preserved in the canonical inventory.</x:v>
      </x:c>
      <x:c r="J74" s="20" t="str">
        <x:v>None beyond source-specific refresh and QA.</x:v>
      </x:c>
    </x:row>
    <x:row r="75" ht="64" customHeight="1">
      <x:c r="A75" s="21" t="n">
        <x:v>71</x:v>
      </x:c>
      <x:c r="B75" s="21" t="str">
        <x:v>General</x:v>
      </x:c>
      <x:c r="C75" s="21" t="str">
        <x:v>acs_owner_occupied_units_moe</x:v>
      </x:c>
      <x:c r="D75" s="21" t="str">
        <x:v>ACS owner-occupied units MOE</x:v>
      </x:c>
      <x:c r="E75" s="21" t="str">
        <x:v>U.S. Census Bureau</x:v>
      </x:c>
      <x:c r="F75" s="29" t="str">
        <x:v>Have</x:v>
      </x:c>
      <x:c r="G75" s="21" t="str">
        <x:v>See general output tables</x:v>
      </x:c>
      <x:c r="H75" s="21" t="str">
        <x:v>Represented</x:v>
      </x:c>
      <x:c r="I75" s="21" t="str">
        <x:v>Provider/source gaps and qualifications are preserved in the canonical inventory.</x:v>
      </x:c>
      <x:c r="J75" s="21" t="str">
        <x:v>None beyond source-specific refresh and QA.</x:v>
      </x:c>
    </x:row>
    <x:row r="76" ht="64" customHeight="1">
      <x:c r="A76" s="20" t="n">
        <x:v>72</x:v>
      </x:c>
      <x:c r="B76" s="20" t="str">
        <x:v>General</x:v>
      </x:c>
      <x:c r="C76" s="20" t="str">
        <x:v>acs_renter_occupied_units</x:v>
      </x:c>
      <x:c r="D76" s="20" t="str">
        <x:v>ACS renter-occupied units</x:v>
      </x:c>
      <x:c r="E76" s="20" t="str">
        <x:v>U.S. Census Bureau</x:v>
      </x:c>
      <x:c r="F76" s="29" t="str">
        <x:v>Have</x:v>
      </x:c>
      <x:c r="G76" s="20" t="str">
        <x:v>See general output tables</x:v>
      </x:c>
      <x:c r="H76" s="20" t="str">
        <x:v>Represented</x:v>
      </x:c>
      <x:c r="I76" s="20" t="str">
        <x:v>Provider/source gaps and qualifications are preserved in the canonical inventory.</x:v>
      </x:c>
      <x:c r="J76" s="20" t="str">
        <x:v>None beyond source-specific refresh and QA.</x:v>
      </x:c>
    </x:row>
    <x:row r="77" ht="64" customHeight="1">
      <x:c r="A77" s="21" t="n">
        <x:v>73</x:v>
      </x:c>
      <x:c r="B77" s="21" t="str">
        <x:v>General</x:v>
      </x:c>
      <x:c r="C77" s="21" t="str">
        <x:v>acs_renter_occupied_units_moe</x:v>
      </x:c>
      <x:c r="D77" s="21" t="str">
        <x:v>ACS renter-occupied units MOE</x:v>
      </x:c>
      <x:c r="E77" s="21" t="str">
        <x:v>U.S. Census Bureau</x:v>
      </x:c>
      <x:c r="F77" s="29" t="str">
        <x:v>Have</x:v>
      </x:c>
      <x:c r="G77" s="21" t="str">
        <x:v>See general output tables</x:v>
      </x:c>
      <x:c r="H77" s="21" t="str">
        <x:v>Represented</x:v>
      </x:c>
      <x:c r="I77" s="21" t="str">
        <x:v>Provider/source gaps and qualifications are preserved in the canonical inventory.</x:v>
      </x:c>
      <x:c r="J77" s="21" t="str">
        <x:v>None beyond source-specific refresh and QA.</x:v>
      </x:c>
    </x:row>
    <x:row r="78" ht="64" customHeight="1">
      <x:c r="A78" s="20" t="n">
        <x:v>74</x:v>
      </x:c>
      <x:c r="B78" s="20" t="str">
        <x:v>General</x:v>
      </x:c>
      <x:c r="C78" s="20" t="str">
        <x:v>acs_for_rent_vacant_units</x:v>
      </x:c>
      <x:c r="D78" s="20" t="str">
        <x:v>ACS for-rent vacant units</x:v>
      </x:c>
      <x:c r="E78" s="20" t="str">
        <x:v>U.S. Census Bureau</x:v>
      </x:c>
      <x:c r="F78" s="29" t="str">
        <x:v>Have</x:v>
      </x:c>
      <x:c r="G78" s="20" t="str">
        <x:v>See general output tables</x:v>
      </x:c>
      <x:c r="H78" s="20" t="str">
        <x:v>Represented</x:v>
      </x:c>
      <x:c r="I78" s="20" t="str">
        <x:v>Provider/source gaps and qualifications are preserved in the canonical inventory.</x:v>
      </x:c>
      <x:c r="J78" s="20" t="str">
        <x:v>None beyond source-specific refresh and QA.</x:v>
      </x:c>
    </x:row>
    <x:row r="79" ht="64" customHeight="1">
      <x:c r="A79" s="21" t="n">
        <x:v>75</x:v>
      </x:c>
      <x:c r="B79" s="21" t="str">
        <x:v>General</x:v>
      </x:c>
      <x:c r="C79" s="21" t="str">
        <x:v>acs_for_rent_vacant_units_moe</x:v>
      </x:c>
      <x:c r="D79" s="21" t="str">
        <x:v>ACS for-rent vacant units 90% MOE</x:v>
      </x:c>
      <x:c r="E79" s="21" t="str">
        <x:v>U.S. Census Bureau</x:v>
      </x:c>
      <x:c r="F79" s="29" t="str">
        <x:v>Have</x:v>
      </x:c>
      <x:c r="G79" s="21" t="str">
        <x:v>See general output tables</x:v>
      </x:c>
      <x:c r="H79" s="21" t="str">
        <x:v>Represented</x:v>
      </x:c>
      <x:c r="I79" s="21" t="str">
        <x:v>Provider/source gaps and qualifications are preserved in the canonical inventory.</x:v>
      </x:c>
      <x:c r="J79" s="21" t="str">
        <x:v>None beyond source-specific refresh and QA.</x:v>
      </x:c>
    </x:row>
    <x:row r="80" ht="64" customHeight="1">
      <x:c r="A80" s="20" t="n">
        <x:v>76</x:v>
      </x:c>
      <x:c r="B80" s="20" t="str">
        <x:v>General</x:v>
      </x:c>
      <x:c r="C80" s="20" t="str">
        <x:v>acs_rental_availability_rate</x:v>
      </x:c>
      <x:c r="D80" s="20" t="str">
        <x:v>ACS county rental-availability rate proxy</x:v>
      </x:c>
      <x:c r="E80" s="20" t="str">
        <x:v>Constructed from U.S. Census Bureau ACS</x:v>
      </x:c>
      <x:c r="F80" s="29" t="str">
        <x:v>Have</x:v>
      </x:c>
      <x:c r="G80" s="20" t="str">
        <x:v>See general output tables</x:v>
      </x:c>
      <x:c r="H80" s="20" t="str">
        <x:v>Represented</x:v>
      </x:c>
      <x:c r="I80" s="20" t="str">
        <x:v>Provider/source gaps and qualifications are preserved in the canonical inventory.</x:v>
      </x:c>
      <x:c r="J80" s="20" t="str">
        <x:v>None beyond source-specific refresh and QA.</x:v>
      </x:c>
    </x:row>
    <x:row r="81" ht="64" customHeight="1">
      <x:c r="A81" s="21" t="n">
        <x:v>77</x:v>
      </x:c>
      <x:c r="B81" s="21" t="str">
        <x:v>General</x:v>
      </x:c>
      <x:c r="C81" s="21" t="str">
        <x:v>acs_median_gross_rent</x:v>
      </x:c>
      <x:c r="D81" s="21" t="str">
        <x:v>ACS median gross rent</x:v>
      </x:c>
      <x:c r="E81" s="21" t="str">
        <x:v>U.S. Census Bureau</x:v>
      </x:c>
      <x:c r="F81" s="29" t="str">
        <x:v>Have</x:v>
      </x:c>
      <x:c r="G81" s="21" t="str">
        <x:v>See general output tables</x:v>
      </x:c>
      <x:c r="H81" s="21" t="str">
        <x:v>Represented</x:v>
      </x:c>
      <x:c r="I81" s="21" t="str">
        <x:v>Provider/source gaps and qualifications are preserved in the canonical inventory.</x:v>
      </x:c>
      <x:c r="J81" s="21" t="str">
        <x:v>None beyond source-specific refresh and QA.</x:v>
      </x:c>
    </x:row>
    <x:row r="82" ht="64" customHeight="1">
      <x:c r="A82" s="20" t="n">
        <x:v>78</x:v>
      </x:c>
      <x:c r="B82" s="20" t="str">
        <x:v>General</x:v>
      </x:c>
      <x:c r="C82" s="20" t="str">
        <x:v>acs_median_gross_rent_moe</x:v>
      </x:c>
      <x:c r="D82" s="20" t="str">
        <x:v>ACS median gross rent MOE</x:v>
      </x:c>
      <x:c r="E82" s="20" t="str">
        <x:v>U.S. Census Bureau</x:v>
      </x:c>
      <x:c r="F82" s="29" t="str">
        <x:v>Have</x:v>
      </x:c>
      <x:c r="G82" s="20" t="str">
        <x:v>See general output tables</x:v>
      </x:c>
      <x:c r="H82" s="20" t="str">
        <x:v>Represented</x:v>
      </x:c>
      <x:c r="I82" s="20" t="str">
        <x:v>Provider/source gaps and qualifications are preserved in the canonical inventory.</x:v>
      </x:c>
      <x:c r="J82" s="20" t="str">
        <x:v>None beyond source-specific refresh and QA.</x:v>
      </x:c>
    </x:row>
    <x:row r="83" ht="64" customHeight="1">
      <x:c r="A83" s="21" t="n">
        <x:v>79</x:v>
      </x:c>
      <x:c r="B83" s="21" t="str">
        <x:v>General</x:v>
      </x:c>
      <x:c r="C83" s="21" t="str">
        <x:v>acs_median_home_value</x:v>
      </x:c>
      <x:c r="D83" s="21" t="str">
        <x:v>ACS median home value</x:v>
      </x:c>
      <x:c r="E83" s="21" t="str">
        <x:v>U.S. Census Bureau</x:v>
      </x:c>
      <x:c r="F83" s="29" t="str">
        <x:v>Have</x:v>
      </x:c>
      <x:c r="G83" s="21" t="str">
        <x:v>See general output tables</x:v>
      </x:c>
      <x:c r="H83" s="21" t="str">
        <x:v>Represented</x:v>
      </x:c>
      <x:c r="I83" s="21" t="str">
        <x:v>Provider/source gaps and qualifications are preserved in the canonical inventory.</x:v>
      </x:c>
      <x:c r="J83" s="21" t="str">
        <x:v>None beyond source-specific refresh and QA.</x:v>
      </x:c>
    </x:row>
    <x:row r="84" ht="64" customHeight="1">
      <x:c r="A84" s="20" t="n">
        <x:v>80</x:v>
      </x:c>
      <x:c r="B84" s="20" t="str">
        <x:v>General</x:v>
      </x:c>
      <x:c r="C84" s="20" t="str">
        <x:v>acs_median_home_value_moe</x:v>
      </x:c>
      <x:c r="D84" s="20" t="str">
        <x:v>ACS median home value MOE</x:v>
      </x:c>
      <x:c r="E84" s="20" t="str">
        <x:v>U.S. Census Bureau</x:v>
      </x:c>
      <x:c r="F84" s="29" t="str">
        <x:v>Have</x:v>
      </x:c>
      <x:c r="G84" s="20" t="str">
        <x:v>See general output tables</x:v>
      </x:c>
      <x:c r="H84" s="20" t="str">
        <x:v>Represented</x:v>
      </x:c>
      <x:c r="I84" s="20" t="str">
        <x:v>Provider/source gaps and qualifications are preserved in the canonical inventory.</x:v>
      </x:c>
      <x:c r="J84" s="20" t="str">
        <x:v>None beyond source-specific refresh and QA.</x:v>
      </x:c>
    </x:row>
    <x:row r="85" ht="64" customHeight="1">
      <x:c r="A85" s="21" t="n">
        <x:v>81</x:v>
      </x:c>
      <x:c r="B85" s="21" t="str">
        <x:v>General</x:v>
      </x:c>
      <x:c r="C85" s="21" t="str">
        <x:v>acs_owner_units_with_mortgage</x:v>
      </x:c>
      <x:c r="D85" s="21" t="str">
        <x:v>ACS owner units with mortgage</x:v>
      </x:c>
      <x:c r="E85" s="21" t="str">
        <x:v>U.S. Census Bureau</x:v>
      </x:c>
      <x:c r="F85" s="29" t="str">
        <x:v>Have</x:v>
      </x:c>
      <x:c r="G85" s="21" t="str">
        <x:v>See general output tables</x:v>
      </x:c>
      <x:c r="H85" s="21" t="str">
        <x:v>Represented</x:v>
      </x:c>
      <x:c r="I85" s="21" t="str">
        <x:v>Provider/source gaps and qualifications are preserved in the canonical inventory.</x:v>
      </x:c>
      <x:c r="J85" s="21" t="str">
        <x:v>None beyond source-specific refresh and QA.</x:v>
      </x:c>
    </x:row>
    <x:row r="86" ht="64" customHeight="1">
      <x:c r="A86" s="20" t="n">
        <x:v>82</x:v>
      </x:c>
      <x:c r="B86" s="20" t="str">
        <x:v>General</x:v>
      </x:c>
      <x:c r="C86" s="20" t="str">
        <x:v>acs_owner_units_with_mortgage_moe</x:v>
      </x:c>
      <x:c r="D86" s="20" t="str">
        <x:v>ACS owner units with mortgage MOE</x:v>
      </x:c>
      <x:c r="E86" s="20" t="str">
        <x:v>U.S. Census Bureau</x:v>
      </x:c>
      <x:c r="F86" s="29" t="str">
        <x:v>Have</x:v>
      </x:c>
      <x:c r="G86" s="20" t="str">
        <x:v>See general output tables</x:v>
      </x:c>
      <x:c r="H86" s="20" t="str">
        <x:v>Represented</x:v>
      </x:c>
      <x:c r="I86" s="20" t="str">
        <x:v>Provider/source gaps and qualifications are preserved in the canonical inventory.</x:v>
      </x:c>
      <x:c r="J86" s="20" t="str">
        <x:v>None beyond source-specific refresh and QA.</x:v>
      </x:c>
    </x:row>
    <x:row r="87" ht="64" customHeight="1">
      <x:c r="A87" s="21" t="n">
        <x:v>83</x:v>
      </x:c>
      <x:c r="B87" s="21" t="str">
        <x:v>General</x:v>
      </x:c>
      <x:c r="C87" s="21" t="str">
        <x:v>down_payment_3_5pct</x:v>
      </x:c>
      <x:c r="D87" s="21" t="str">
        <x:v>Down payment scenario, 3.5% FHA-style</x:v>
      </x:c>
      <x:c r="E87" s="21" t="str">
        <x:v>Constructed</x:v>
      </x:c>
      <x:c r="F87" s="29" t="str">
        <x:v>Have</x:v>
      </x:c>
      <x:c r="G87" s="21" t="str">
        <x:v>See general output tables</x:v>
      </x:c>
      <x:c r="H87" s="21" t="str">
        <x:v>Represented</x:v>
      </x:c>
      <x:c r="I87" s="21" t="str">
        <x:v>Provider/source gaps and qualifications are preserved in the canonical inventory.</x:v>
      </x:c>
      <x:c r="J87" s="21" t="str">
        <x:v>None beyond source-specific refresh and QA.</x:v>
      </x:c>
    </x:row>
    <x:row r="88" ht="64" customHeight="1">
      <x:c r="A88" s="20" t="n">
        <x:v>84</x:v>
      </x:c>
      <x:c r="B88" s="20" t="str">
        <x:v>General</x:v>
      </x:c>
      <x:c r="C88" s="20" t="str">
        <x:v>down_payment_10pct</x:v>
      </x:c>
      <x:c r="D88" s="20" t="str">
        <x:v>Down payment scenario, 10%</x:v>
      </x:c>
      <x:c r="E88" s="20" t="str">
        <x:v>Constructed</x:v>
      </x:c>
      <x:c r="F88" s="29" t="str">
        <x:v>Have</x:v>
      </x:c>
      <x:c r="G88" s="20" t="str">
        <x:v>See general output tables</x:v>
      </x:c>
      <x:c r="H88" s="20" t="str">
        <x:v>Represented</x:v>
      </x:c>
      <x:c r="I88" s="20" t="str">
        <x:v>Provider/source gaps and qualifications are preserved in the canonical inventory.</x:v>
      </x:c>
      <x:c r="J88" s="20" t="str">
        <x:v>None beyond source-specific refresh and QA.</x:v>
      </x:c>
    </x:row>
    <x:row r="89" ht="64" customHeight="1">
      <x:c r="A89" s="21" t="n">
        <x:v>85</x:v>
      </x:c>
      <x:c r="B89" s="21" t="str">
        <x:v>General</x:v>
      </x:c>
      <x:c r="C89" s="21" t="str">
        <x:v>down_payment_20pct</x:v>
      </x:c>
      <x:c r="D89" s="21" t="str">
        <x:v>Down payment scenario, 20%</x:v>
      </x:c>
      <x:c r="E89" s="21" t="str">
        <x:v>Constructed</x:v>
      </x:c>
      <x:c r="F89" s="29" t="str">
        <x:v>Have</x:v>
      </x:c>
      <x:c r="G89" s="21" t="str">
        <x:v>See general output tables</x:v>
      </x:c>
      <x:c r="H89" s="21" t="str">
        <x:v>Represented</x:v>
      </x:c>
      <x:c r="I89" s="21" t="str">
        <x:v>Provider/source gaps and qualifications are preserved in the canonical inventory.</x:v>
      </x:c>
      <x:c r="J89" s="21" t="str">
        <x:v>None beyond source-specific refresh and QA.</x:v>
      </x:c>
    </x:row>
    <x:row r="90" ht="64" customHeight="1">
      <x:c r="A90" s="20" t="n">
        <x:v>86</x:v>
      </x:c>
      <x:c r="B90" s="20" t="str">
        <x:v>General</x:v>
      </x:c>
      <x:c r="C90" s="20" t="str">
        <x:v>closing_cost_2pct</x:v>
      </x:c>
      <x:c r="D90" s="20" t="str">
        <x:v>Closing cost scenario, 2%</x:v>
      </x:c>
      <x:c r="E90" s="20" t="str">
        <x:v>Constructed</x:v>
      </x:c>
      <x:c r="F90" s="29" t="str">
        <x:v>Have</x:v>
      </x:c>
      <x:c r="G90" s="20" t="str">
        <x:v>See general output tables</x:v>
      </x:c>
      <x:c r="H90" s="20" t="str">
        <x:v>Represented</x:v>
      </x:c>
      <x:c r="I90" s="20" t="str">
        <x:v>Provider/source gaps and qualifications are preserved in the canonical inventory.</x:v>
      </x:c>
      <x:c r="J90" s="20" t="str">
        <x:v>None beyond source-specific refresh and QA.</x:v>
      </x:c>
    </x:row>
    <x:row r="91" ht="64" customHeight="1">
      <x:c r="A91" s="21" t="n">
        <x:v>87</x:v>
      </x:c>
      <x:c r="B91" s="21" t="str">
        <x:v>General</x:v>
      </x:c>
      <x:c r="C91" s="21" t="str">
        <x:v>closing_cost_3pct</x:v>
      </x:c>
      <x:c r="D91" s="21" t="str">
        <x:v>Closing cost scenario, 3%</x:v>
      </x:c>
      <x:c r="E91" s="21" t="str">
        <x:v>Constructed</x:v>
      </x:c>
      <x:c r="F91" s="29" t="str">
        <x:v>Have</x:v>
      </x:c>
      <x:c r="G91" s="21" t="str">
        <x:v>See general output tables</x:v>
      </x:c>
      <x:c r="H91" s="21" t="str">
        <x:v>Represented</x:v>
      </x:c>
      <x:c r="I91" s="21" t="str">
        <x:v>Provider/source gaps and qualifications are preserved in the canonical inventory.</x:v>
      </x:c>
      <x:c r="J91" s="21" t="str">
        <x:v>None beyond source-specific refresh and QA.</x:v>
      </x:c>
    </x:row>
    <x:row r="92" ht="64" customHeight="1">
      <x:c r="A92" s="20" t="n">
        <x:v>88</x:v>
      </x:c>
      <x:c r="B92" s="20" t="str">
        <x:v>General</x:v>
      </x:c>
      <x:c r="C92" s="20" t="str">
        <x:v>closing_cost_5pct</x:v>
      </x:c>
      <x:c r="D92" s="20" t="str">
        <x:v>Closing cost scenario, 5%</x:v>
      </x:c>
      <x:c r="E92" s="20" t="str">
        <x:v>Constructed</x:v>
      </x:c>
      <x:c r="F92" s="29" t="str">
        <x:v>Have</x:v>
      </x:c>
      <x:c r="G92" s="20" t="str">
        <x:v>See general output tables</x:v>
      </x:c>
      <x:c r="H92" s="20" t="str">
        <x:v>Represented</x:v>
      </x:c>
      <x:c r="I92" s="20" t="str">
        <x:v>Provider/source gaps and qualifications are preserved in the canonical inventory.</x:v>
      </x:c>
      <x:c r="J92" s="20" t="str">
        <x:v>None beyond source-specific refresh and QA.</x:v>
      </x:c>
    </x:row>
    <x:row r="93" ht="64" customHeight="1">
      <x:c r="A93" s="21" t="n">
        <x:v>89</x:v>
      </x:c>
      <x:c r="B93" s="21" t="str">
        <x:v>General</x:v>
      </x:c>
      <x:c r="C93" s="21" t="str">
        <x:v>closing_cost_saleprice_2pct</x:v>
      </x:c>
      <x:c r="D93" s="21" t="str">
        <x:v>Buyer closing-cost scenario, 2% of sale price</x:v>
      </x:c>
      <x:c r="E93" s="21" t="str">
        <x:v>Constructed from Redfin Data Center</x:v>
      </x:c>
      <x:c r="F93" s="29" t="str">
        <x:v>Have</x:v>
      </x:c>
      <x:c r="G93" s="21" t="str">
        <x:v>See general output tables</x:v>
      </x:c>
      <x:c r="H93" s="21" t="str">
        <x:v>Represented</x:v>
      </x:c>
      <x:c r="I93" s="21" t="str">
        <x:v>Provider/source gaps and qualifications are preserved in the canonical inventory.</x:v>
      </x:c>
      <x:c r="J93" s="21" t="str">
        <x:v>None beyond source-specific refresh and QA.</x:v>
      </x:c>
    </x:row>
    <x:row r="94" ht="64" customHeight="1">
      <x:c r="A94" s="20" t="n">
        <x:v>90</x:v>
      </x:c>
      <x:c r="B94" s="20" t="str">
        <x:v>General</x:v>
      </x:c>
      <x:c r="C94" s="20" t="str">
        <x:v>closing_cost_saleprice_3pct</x:v>
      </x:c>
      <x:c r="D94" s="20" t="str">
        <x:v>Buyer closing-cost scenario, 3% of sale price</x:v>
      </x:c>
      <x:c r="E94" s="20" t="str">
        <x:v>Constructed from Redfin Data Center</x:v>
      </x:c>
      <x:c r="F94" s="29" t="str">
        <x:v>Have</x:v>
      </x:c>
      <x:c r="G94" s="20" t="str">
        <x:v>See general output tables</x:v>
      </x:c>
      <x:c r="H94" s="20" t="str">
        <x:v>Represented</x:v>
      </x:c>
      <x:c r="I94" s="20" t="str">
        <x:v>Provider/source gaps and qualifications are preserved in the canonical inventory.</x:v>
      </x:c>
      <x:c r="J94" s="20" t="str">
        <x:v>None beyond source-specific refresh and QA.</x:v>
      </x:c>
    </x:row>
    <x:row r="95" ht="64" customHeight="1">
      <x:c r="A95" s="21" t="n">
        <x:v>91</x:v>
      </x:c>
      <x:c r="B95" s="21" t="str">
        <x:v>General</x:v>
      </x:c>
      <x:c r="C95" s="21" t="str">
        <x:v>closing_cost_saleprice_5pct</x:v>
      </x:c>
      <x:c r="D95" s="21" t="str">
        <x:v>Buyer closing-cost scenario, 5% of sale price</x:v>
      </x:c>
      <x:c r="E95" s="21" t="str">
        <x:v>Constructed from Redfin Data Center</x:v>
      </x:c>
      <x:c r="F95" s="29" t="str">
        <x:v>Have</x:v>
      </x:c>
      <x:c r="G95" s="21" t="str">
        <x:v>See general output tables</x:v>
      </x:c>
      <x:c r="H95" s="21" t="str">
        <x:v>Represented</x:v>
      </x:c>
      <x:c r="I95" s="21" t="str">
        <x:v>Provider/source gaps and qualifications are preserved in the canonical inventory.</x:v>
      </x:c>
      <x:c r="J95" s="21" t="str">
        <x:v>None beyond source-specific refresh and QA.</x:v>
      </x:c>
    </x:row>
    <x:row r="96" ht="64" customHeight="1">
      <x:c r="A96" s="20" t="n">
        <x:v>92</x:v>
      </x:c>
      <x:c r="B96" s="20" t="str">
        <x:v>General</x:v>
      </x:c>
      <x:c r="C96" s="20" t="str">
        <x:v>estimated_mortgage_amount_scenario</x:v>
      </x:c>
      <x:c r="D96" s="20" t="str">
        <x:v>Estimated mortgage amount scenario</x:v>
      </x:c>
      <x:c r="E96" s="20" t="str">
        <x:v>Constructed from Redfin Data Center</x:v>
      </x:c>
      <x:c r="F96" s="29" t="str">
        <x:v>Have</x:v>
      </x:c>
      <x:c r="G96" s="20" t="str">
        <x:v>See general output tables</x:v>
      </x:c>
      <x:c r="H96" s="20" t="str">
        <x:v>Represented</x:v>
      </x:c>
      <x:c r="I96" s="20" t="str">
        <x:v>Provider/source gaps and qualifications are preserved in the canonical inventory.</x:v>
      </x:c>
      <x:c r="J96" s="20" t="str">
        <x:v>None beyond source-specific refresh and QA.</x:v>
      </x:c>
    </x:row>
    <x:row r="97" ht="64" customHeight="1">
      <x:c r="A97" s="21" t="n">
        <x:v>93</x:v>
      </x:c>
      <x:c r="B97" s="21" t="str">
        <x:v>General</x:v>
      </x:c>
      <x:c r="C97" s="21" t="str">
        <x:v>closing_cost_loan_3pct</x:v>
      </x:c>
      <x:c r="D97" s="21" t="str">
        <x:v>Loan-based closing-cost sensitivity, 3%</x:v>
      </x:c>
      <x:c r="E97" s="21" t="str">
        <x:v>Constructed from Redfin Data Center; range from FHFA guidance</x:v>
      </x:c>
      <x:c r="F97" s="29" t="str">
        <x:v>Have</x:v>
      </x:c>
      <x:c r="G97" s="21" t="str">
        <x:v>See general output tables</x:v>
      </x:c>
      <x:c r="H97" s="21" t="str">
        <x:v>Represented</x:v>
      </x:c>
      <x:c r="I97" s="21" t="str">
        <x:v>Provider/source gaps and qualifications are preserved in the canonical inventory.</x:v>
      </x:c>
      <x:c r="J97" s="21" t="str">
        <x:v>None beyond source-specific refresh and QA.</x:v>
      </x:c>
    </x:row>
    <x:row r="98" ht="64" customHeight="1">
      <x:c r="A98" s="20" t="n">
        <x:v>94</x:v>
      </x:c>
      <x:c r="B98" s="20" t="str">
        <x:v>General</x:v>
      </x:c>
      <x:c r="C98" s="20" t="str">
        <x:v>closing_cost_loan_6pct</x:v>
      </x:c>
      <x:c r="D98" s="20" t="str">
        <x:v>Loan-based closing-cost sensitivity, 6%</x:v>
      </x:c>
      <x:c r="E98" s="20" t="str">
        <x:v>Constructed from Redfin Data Center; range from FHFA guidance</x:v>
      </x:c>
      <x:c r="F98" s="29" t="str">
        <x:v>Have</x:v>
      </x:c>
      <x:c r="G98" s="20" t="str">
        <x:v>See general output tables</x:v>
      </x:c>
      <x:c r="H98" s="20" t="str">
        <x:v>Represented</x:v>
      </x:c>
      <x:c r="I98" s="20" t="str">
        <x:v>Provider/source gaps and qualifications are preserved in the canonical inventory.</x:v>
      </x:c>
      <x:c r="J98" s="20" t="str">
        <x:v>None beyond source-specific refresh and QA.</x:v>
      </x:c>
    </x:row>
    <x:row r="99" ht="64" customHeight="1">
      <x:c r="A99" s="21" t="n">
        <x:v>95</x:v>
      </x:c>
      <x:c r="B99" s="21" t="str">
        <x:v>General</x:v>
      </x:c>
      <x:c r="C99" s="21" t="str">
        <x:v>total_cash_to_close_scenario</x:v>
      </x:c>
      <x:c r="D99" s="21" t="str">
        <x:v>Total cash-to-close scenario</x:v>
      </x:c>
      <x:c r="E99" s="21" t="str">
        <x:v>Constructed from Redfin Data Center</x:v>
      </x:c>
      <x:c r="F99" s="29" t="str">
        <x:v>Have</x:v>
      </x:c>
      <x:c r="G99" s="21" t="str">
        <x:v>See general output tables</x:v>
      </x:c>
      <x:c r="H99" s="21" t="str">
        <x:v>Represented</x:v>
      </x:c>
      <x:c r="I99" s="21" t="str">
        <x:v>Provider/source gaps and qualifications are preserved in the canonical inventory.</x:v>
      </x:c>
      <x:c r="J99" s="21" t="str">
        <x:v>None beyond source-specific refresh and QA.</x:v>
      </x:c>
    </x:row>
    <x:row r="100" ht="64" customHeight="1">
      <x:c r="A100" s="20" t="n">
        <x:v>96</x:v>
      </x:c>
      <x:c r="B100" s="20" t="str">
        <x:v>General</x:v>
      </x:c>
      <x:c r="C100" s="20" t="str">
        <x:v>mortgage_payment_3_5pct_down</x:v>
      </x:c>
      <x:c r="D100" s="20" t="str">
        <x:v>Monthly mortgage payment, 3.5% down</x:v>
      </x:c>
      <x:c r="E100" s="20" t="str">
        <x:v>Constructed</x:v>
      </x:c>
      <x:c r="F100" s="29" t="str">
        <x:v>Have</x:v>
      </x:c>
      <x:c r="G100" s="20" t="str">
        <x:v>See general output tables</x:v>
      </x:c>
      <x:c r="H100" s="20" t="str">
        <x:v>Represented</x:v>
      </x:c>
      <x:c r="I100" s="20" t="str">
        <x:v>Provider/source gaps and qualifications are preserved in the canonical inventory.</x:v>
      </x:c>
      <x:c r="J100" s="20" t="str">
        <x:v>None beyond source-specific refresh and QA.</x:v>
      </x:c>
    </x:row>
    <x:row r="101" ht="64" customHeight="1">
      <x:c r="A101" s="21" t="n">
        <x:v>97</x:v>
      </x:c>
      <x:c r="B101" s="21" t="str">
        <x:v>General</x:v>
      </x:c>
      <x:c r="C101" s="21" t="str">
        <x:v>mortgage_payment_to_rent_3_5pct_down</x:v>
      </x:c>
      <x:c r="D101" s="21" t="str">
        <x:v>Mortgage payment-to-rent ratio, 3.5% down</x:v>
      </x:c>
      <x:c r="E101" s="21" t="str">
        <x:v>Constructed</x:v>
      </x:c>
      <x:c r="F101" s="29" t="str">
        <x:v>Have</x:v>
      </x:c>
      <x:c r="G101" s="21" t="str">
        <x:v>See general output tables</x:v>
      </x:c>
      <x:c r="H101" s="21" t="str">
        <x:v>Represented</x:v>
      </x:c>
      <x:c r="I101" s="21" t="str">
        <x:v>Provider/source gaps and qualifications are preserved in the canonical inventory.</x:v>
      </x:c>
      <x:c r="J101" s="21" t="str">
        <x:v>None beyond source-specific refresh and QA.</x:v>
      </x:c>
    </x:row>
    <x:row r="102" ht="64" customHeight="1">
      <x:c r="A102" s="20" t="n">
        <x:v>98</x:v>
      </x:c>
      <x:c r="B102" s="20" t="str">
        <x:v>General</x:v>
      </x:c>
      <x:c r="C102" s="20" t="str">
        <x:v>sales_to_inventory_ratio</x:v>
      </x:c>
      <x:c r="D102" s="20" t="str">
        <x:v>Sales-to-inventory ratio</x:v>
      </x:c>
      <x:c r="E102" s="20" t="str">
        <x:v>Constructed</x:v>
      </x:c>
      <x:c r="F102" s="29" t="str">
        <x:v>Have</x:v>
      </x:c>
      <x:c r="G102" s="20" t="str">
        <x:v>See general output tables</x:v>
      </x:c>
      <x:c r="H102" s="20" t="str">
        <x:v>Represented</x:v>
      </x:c>
      <x:c r="I102" s="20" t="str">
        <x:v>Provider/source gaps and qualifications are preserved in the canonical inventory.</x:v>
      </x:c>
      <x:c r="J102" s="20" t="str">
        <x:v>None beyond source-specific refresh and QA.</x:v>
      </x:c>
    </x:row>
    <x:row r="103" ht="64" customHeight="1">
      <x:c r="A103" s="21" t="n">
        <x:v>99</x:v>
      </x:c>
      <x:c r="B103" s="21" t="str">
        <x:v>General</x:v>
      </x:c>
      <x:c r="C103" s="21" t="str">
        <x:v>net_change_occupied_apartments_annual</x:v>
      </x:c>
      <x:c r="D103" s="21" t="str">
        <x:v>ACS renter-occupied units vintage-to-vintage change</x:v>
      </x:c>
      <x:c r="E103" s="21" t="str">
        <x:v>Constructed from U.S. Census Bureau ACS</x:v>
      </x:c>
      <x:c r="F103" s="29" t="str">
        <x:v>Have</x:v>
      </x:c>
      <x:c r="G103" s="21" t="str">
        <x:v>See general output tables</x:v>
      </x:c>
      <x:c r="H103" s="21" t="str">
        <x:v>Represented</x:v>
      </x:c>
      <x:c r="I103" s="21" t="str">
        <x:v>Provider/source gaps and qualifications are preserved in the canonical inventory.</x:v>
      </x:c>
      <x:c r="J103" s="21" t="str">
        <x:v>None beyond source-specific refresh and QA.</x:v>
      </x:c>
    </x:row>
    <x:row r="104" ht="64" customHeight="1">
      <x:c r="A104" s="20" t="n">
        <x:v>100</x:v>
      </x:c>
      <x:c r="B104" s="20" t="str">
        <x:v>General</x:v>
      </x:c>
      <x:c r="C104" s="20" t="str">
        <x:v>county_annual_price_to_income_acs</x:v>
      </x:c>
      <x:c r="D104" s="20" t="str">
        <x:v>ACS county annual price-to-income ratio</x:v>
      </x:c>
      <x:c r="E104" s="20" t="str">
        <x:v>Constructed</x:v>
      </x:c>
      <x:c r="F104" s="29" t="str">
        <x:v>Have</x:v>
      </x:c>
      <x:c r="G104" s="20" t="str">
        <x:v>See general output tables</x:v>
      </x:c>
      <x:c r="H104" s="20" t="str">
        <x:v>Represented</x:v>
      </x:c>
      <x:c r="I104" s="20" t="str">
        <x:v>Provider/source gaps and qualifications are preserved in the canonical inventory.</x:v>
      </x:c>
      <x:c r="J104" s="20" t="str">
        <x:v>None beyond source-specific refresh and QA.</x:v>
      </x:c>
    </x:row>
    <x:row r="105" ht="64" customHeight="1">
      <x:c r="A105" s="21" t="n">
        <x:v>101</x:v>
      </x:c>
      <x:c r="B105" s="21" t="str">
        <x:v>General</x:v>
      </x:c>
      <x:c r="C105" s="21" t="str">
        <x:v>zcta_annual_price_to_income_acs</x:v>
      </x:c>
      <x:c r="D105" s="21" t="str">
        <x:v>ACS ZCTA annual price-to-income ratio</x:v>
      </x:c>
      <x:c r="E105" s="21" t="str">
        <x:v>Constructed from U.S. Census Bureau ACS</x:v>
      </x:c>
      <x:c r="F105" s="29" t="str">
        <x:v>Have</x:v>
      </x:c>
      <x:c r="G105" s="21" t="str">
        <x:v>See general output tables</x:v>
      </x:c>
      <x:c r="H105" s="21" t="str">
        <x:v>Represented</x:v>
      </x:c>
      <x:c r="I105" s="21" t="str">
        <x:v>Provider/source gaps and qualifications are preserved in the canonical inventory.</x:v>
      </x:c>
      <x:c r="J105" s="21" t="str">
        <x:v>None beyond source-specific refresh and QA.</x:v>
      </x:c>
    </x:row>
    <x:row r="106" ht="64" customHeight="1">
      <x:c r="A106" s="20" t="n">
        <x:v>102</x:v>
      </x:c>
      <x:c r="B106" s="20" t="str">
        <x:v>General</x:v>
      </x:c>
      <x:c r="C106" s="20" t="str">
        <x:v>zcta_renter_occupied_units_vintage_change_annual</x:v>
      </x:c>
      <x:c r="D106" s="20" t="str">
        <x:v>ACS ZCTA renter-occupied units vintage-to-vintage change</x:v>
      </x:c>
      <x:c r="E106" s="20" t="str">
        <x:v>Constructed from U.S. Census Bureau ACS</x:v>
      </x:c>
      <x:c r="F106" s="29" t="str">
        <x:v>Have</x:v>
      </x:c>
      <x:c r="G106" s="20" t="str">
        <x:v>See general output tables</x:v>
      </x:c>
      <x:c r="H106" s="20" t="str">
        <x:v>Represented</x:v>
      </x:c>
      <x:c r="I106" s="20" t="str">
        <x:v>Provider/source gaps and qualifications are preserved in the canonical inventory.</x:v>
      </x:c>
      <x:c r="J106" s="20" t="str">
        <x:v>None beyond source-specific refresh and QA.</x:v>
      </x:c>
    </x:row>
    <x:row r="107" ht="64" customHeight="1">
      <x:c r="A107" s="21" t="n">
        <x:v>103</x:v>
      </x:c>
      <x:c r="B107" s="21" t="str">
        <x:v>General</x:v>
      </x:c>
      <x:c r="C107" s="21" t="str">
        <x:v>acs_owner_occupied_home_value_proxy</x:v>
      </x:c>
      <x:c r="D107" s="21" t="str">
        <x:v>ACS owner-occupied housing value proxy</x:v>
      </x:c>
      <x:c r="E107" s="21" t="str">
        <x:v>Constructed</x:v>
      </x:c>
      <x:c r="F107" s="29" t="str">
        <x:v>Have</x:v>
      </x:c>
      <x:c r="G107" s="21" t="str">
        <x:v>See general output tables</x:v>
      </x:c>
      <x:c r="H107" s="21" t="str">
        <x:v>Represented</x:v>
      </x:c>
      <x:c r="I107" s="21" t="str">
        <x:v>Provider/source gaps and qualifications are preserved in the canonical inventory.</x:v>
      </x:c>
      <x:c r="J107" s="21" t="str">
        <x:v>None beyond source-specific refresh and QA.</x:v>
      </x:c>
    </x:row>
    <x:row r="108" ht="64" customHeight="1">
      <x:c r="A108" s="20" t="n">
        <x:v>104</x:v>
      </x:c>
      <x:c r="B108" s="20" t="str">
        <x:v>General</x:v>
      </x:c>
      <x:c r="C108" s="20" t="str">
        <x:v>acs_b25106_owner_less_20k_cost_lt20pct</x:v>
      </x:c>
      <x:c r="D108" s="20" t="str">
        <x:v>ACS B25106 owner units, income under $20k, housing costs under 20%</x:v>
      </x:c>
      <x:c r="E108" s="20" t="str">
        <x:v>U.S. Census Bureau</x:v>
      </x:c>
      <x:c r="F108" s="29" t="str">
        <x:v>Have</x:v>
      </x:c>
      <x:c r="G108" s="20" t="str">
        <x:v>See general output tables</x:v>
      </x:c>
      <x:c r="H108" s="20" t="str">
        <x:v>Represented</x:v>
      </x:c>
      <x:c r="I108" s="20" t="str">
        <x:v>Provider/source gaps and qualifications are preserved in the canonical inventory.</x:v>
      </x:c>
      <x:c r="J108" s="20" t="str">
        <x:v>None beyond source-specific refresh and QA.</x:v>
      </x:c>
    </x:row>
    <x:row r="109" ht="64" customHeight="1">
      <x:c r="A109" s="21" t="n">
        <x:v>105</x:v>
      </x:c>
      <x:c r="B109" s="21" t="str">
        <x:v>General</x:v>
      </x:c>
      <x:c r="C109" s="21" t="str">
        <x:v>acs_b25106_owner_less_20k_cost_20_29pct</x:v>
      </x:c>
      <x:c r="D109" s="21" t="str">
        <x:v>ACS B25106 owner units, income under $20k, housing costs 20-29%</x:v>
      </x:c>
      <x:c r="E109" s="21" t="str">
        <x:v>U.S. Census Bureau</x:v>
      </x:c>
      <x:c r="F109" s="29" t="str">
        <x:v>Have</x:v>
      </x:c>
      <x:c r="G109" s="21" t="str">
        <x:v>See general output tables</x:v>
      </x:c>
      <x:c r="H109" s="21" t="str">
        <x:v>Represented</x:v>
      </x:c>
      <x:c r="I109" s="21" t="str">
        <x:v>Provider/source gaps and qualifications are preserved in the canonical inventory.</x:v>
      </x:c>
      <x:c r="J109" s="21" t="str">
        <x:v>None beyond source-specific refresh and QA.</x:v>
      </x:c>
    </x:row>
    <x:row r="110" ht="64" customHeight="1">
      <x:c r="A110" s="20" t="n">
        <x:v>106</x:v>
      </x:c>
      <x:c r="B110" s="20" t="str">
        <x:v>General</x:v>
      </x:c>
      <x:c r="C110" s="20" t="str">
        <x:v>acs_b25106_owner_less_20k_cost_30pluspct</x:v>
      </x:c>
      <x:c r="D110" s="20" t="str">
        <x:v>ACS B25106 owner units, income under $20k, housing costs 30%+</x:v>
      </x:c>
      <x:c r="E110" s="20" t="str">
        <x:v>U.S. Census Bureau</x:v>
      </x:c>
      <x:c r="F110" s="29" t="str">
        <x:v>Have</x:v>
      </x:c>
      <x:c r="G110" s="20" t="str">
        <x:v>See general output tables</x:v>
      </x:c>
      <x:c r="H110" s="20" t="str">
        <x:v>Represented</x:v>
      </x:c>
      <x:c r="I110" s="20" t="str">
        <x:v>Provider/source gaps and qualifications are preserved in the canonical inventory.</x:v>
      </x:c>
      <x:c r="J110" s="20" t="str">
        <x:v>None beyond source-specific refresh and QA.</x:v>
      </x:c>
    </x:row>
    <x:row r="111" ht="64" customHeight="1">
      <x:c r="A111" s="21" t="n">
        <x:v>107</x:v>
      </x:c>
      <x:c r="B111" s="21" t="str">
        <x:v>General</x:v>
      </x:c>
      <x:c r="C111" s="21" t="str">
        <x:v>acs_b25106_owner_20k_34999_cost_lt20pct</x:v>
      </x:c>
      <x:c r="D111" s="21" t="str">
        <x:v>ACS B25106 owner units, income $20k-$34,999, housing costs under 20%</x:v>
      </x:c>
      <x:c r="E111" s="21" t="str">
        <x:v>U.S. Census Bureau</x:v>
      </x:c>
      <x:c r="F111" s="29" t="str">
        <x:v>Have</x:v>
      </x:c>
      <x:c r="G111" s="21" t="str">
        <x:v>See general output tables</x:v>
      </x:c>
      <x:c r="H111" s="21" t="str">
        <x:v>Represented</x:v>
      </x:c>
      <x:c r="I111" s="21" t="str">
        <x:v>Provider/source gaps and qualifications are preserved in the canonical inventory.</x:v>
      </x:c>
      <x:c r="J111" s="21" t="str">
        <x:v>None beyond source-specific refresh and QA.</x:v>
      </x:c>
    </x:row>
    <x:row r="112" ht="64" customHeight="1">
      <x:c r="A112" s="20" t="n">
        <x:v>108</x:v>
      </x:c>
      <x:c r="B112" s="20" t="str">
        <x:v>General</x:v>
      </x:c>
      <x:c r="C112" s="20" t="str">
        <x:v>acs_b25106_owner_20k_34999_cost_20_29pct</x:v>
      </x:c>
      <x:c r="D112" s="20" t="str">
        <x:v>ACS B25106 owner units, income $20k-$34,999, housing costs 20-29%</x:v>
      </x:c>
      <x:c r="E112" s="20" t="str">
        <x:v>U.S. Census Bureau</x:v>
      </x:c>
      <x:c r="F112" s="29" t="str">
        <x:v>Have</x:v>
      </x:c>
      <x:c r="G112" s="20" t="str">
        <x:v>See general output tables</x:v>
      </x:c>
      <x:c r="H112" s="20" t="str">
        <x:v>Represented</x:v>
      </x:c>
      <x:c r="I112" s="20" t="str">
        <x:v>Provider/source gaps and qualifications are preserved in the canonical inventory.</x:v>
      </x:c>
      <x:c r="J112" s="20" t="str">
        <x:v>None beyond source-specific refresh and QA.</x:v>
      </x:c>
    </x:row>
    <x:row r="113" ht="64" customHeight="1">
      <x:c r="A113" s="21" t="n">
        <x:v>109</x:v>
      </x:c>
      <x:c r="B113" s="21" t="str">
        <x:v>General</x:v>
      </x:c>
      <x:c r="C113" s="21" t="str">
        <x:v>acs_b25106_owner_20k_34999_cost_30pluspct</x:v>
      </x:c>
      <x:c r="D113" s="21" t="str">
        <x:v>ACS B25106 owner units, income $20k-$34,999, housing costs 30%+</x:v>
      </x:c>
      <x:c r="E113" s="21" t="str">
        <x:v>U.S. Census Bureau</x:v>
      </x:c>
      <x:c r="F113" s="29" t="str">
        <x:v>Have</x:v>
      </x:c>
      <x:c r="G113" s="21" t="str">
        <x:v>See general output tables</x:v>
      </x:c>
      <x:c r="H113" s="21" t="str">
        <x:v>Represented</x:v>
      </x:c>
      <x:c r="I113" s="21" t="str">
        <x:v>Provider/source gaps and qualifications are preserved in the canonical inventory.</x:v>
      </x:c>
      <x:c r="J113" s="21" t="str">
        <x:v>None beyond source-specific refresh and QA.</x:v>
      </x:c>
    </x:row>
    <x:row r="114" ht="64" customHeight="1">
      <x:c r="A114" s="20" t="n">
        <x:v>110</x:v>
      </x:c>
      <x:c r="B114" s="20" t="str">
        <x:v>General</x:v>
      </x:c>
      <x:c r="C114" s="20" t="str">
        <x:v>acs_b25106_owner_35k_49999_cost_lt20pct</x:v>
      </x:c>
      <x:c r="D114" s="20" t="str">
        <x:v>ACS B25106 owner units, income $35k-$49,999, housing costs under 20%</x:v>
      </x:c>
      <x:c r="E114" s="20" t="str">
        <x:v>U.S. Census Bureau</x:v>
      </x:c>
      <x:c r="F114" s="29" t="str">
        <x:v>Have</x:v>
      </x:c>
      <x:c r="G114" s="20" t="str">
        <x:v>See general output tables</x:v>
      </x:c>
      <x:c r="H114" s="20" t="str">
        <x:v>Represented</x:v>
      </x:c>
      <x:c r="I114" s="20" t="str">
        <x:v>Provider/source gaps and qualifications are preserved in the canonical inventory.</x:v>
      </x:c>
      <x:c r="J114" s="20" t="str">
        <x:v>None beyond source-specific refresh and QA.</x:v>
      </x:c>
    </x:row>
    <x:row r="115" ht="64" customHeight="1">
      <x:c r="A115" s="21" t="n">
        <x:v>111</x:v>
      </x:c>
      <x:c r="B115" s="21" t="str">
        <x:v>General</x:v>
      </x:c>
      <x:c r="C115" s="21" t="str">
        <x:v>acs_b25106_owner_35k_49999_cost_20_29pct</x:v>
      </x:c>
      <x:c r="D115" s="21" t="str">
        <x:v>ACS B25106 owner units, income $35k-$49,999, housing costs 20-29%</x:v>
      </x:c>
      <x:c r="E115" s="21" t="str">
        <x:v>U.S. Census Bureau</x:v>
      </x:c>
      <x:c r="F115" s="29" t="str">
        <x:v>Have</x:v>
      </x:c>
      <x:c r="G115" s="21" t="str">
        <x:v>See general output tables</x:v>
      </x:c>
      <x:c r="H115" s="21" t="str">
        <x:v>Represented</x:v>
      </x:c>
      <x:c r="I115" s="21" t="str">
        <x:v>Provider/source gaps and qualifications are preserved in the canonical inventory.</x:v>
      </x:c>
      <x:c r="J115" s="21" t="str">
        <x:v>None beyond source-specific refresh and QA.</x:v>
      </x:c>
    </x:row>
    <x:row r="116" ht="64" customHeight="1">
      <x:c r="A116" s="20" t="n">
        <x:v>112</x:v>
      </x:c>
      <x:c r="B116" s="20" t="str">
        <x:v>General</x:v>
      </x:c>
      <x:c r="C116" s="20" t="str">
        <x:v>acs_b25106_owner_35k_49999_cost_30pluspct</x:v>
      </x:c>
      <x:c r="D116" s="20" t="str">
        <x:v>ACS B25106 owner units, income $35k-$49,999, housing costs 30%+</x:v>
      </x:c>
      <x:c r="E116" s="20" t="str">
        <x:v>U.S. Census Bureau</x:v>
      </x:c>
      <x:c r="F116" s="29" t="str">
        <x:v>Have</x:v>
      </x:c>
      <x:c r="G116" s="20" t="str">
        <x:v>See general output tables</x:v>
      </x:c>
      <x:c r="H116" s="20" t="str">
        <x:v>Represented</x:v>
      </x:c>
      <x:c r="I116" s="20" t="str">
        <x:v>Provider/source gaps and qualifications are preserved in the canonical inventory.</x:v>
      </x:c>
      <x:c r="J116" s="20" t="str">
        <x:v>None beyond source-specific refresh and QA.</x:v>
      </x:c>
    </x:row>
    <x:row r="117" ht="64" customHeight="1">
      <x:c r="A117" s="21" t="n">
        <x:v>113</x:v>
      </x:c>
      <x:c r="B117" s="21" t="str">
        <x:v>General</x:v>
      </x:c>
      <x:c r="C117" s="21" t="str">
        <x:v>acs_b25106_owner_50k_74999_cost_lt20pct</x:v>
      </x:c>
      <x:c r="D117" s="21" t="str">
        <x:v>ACS B25106 owner units, income $50k-$74,999, housing costs under 20%</x:v>
      </x:c>
      <x:c r="E117" s="21" t="str">
        <x:v>U.S. Census Bureau</x:v>
      </x:c>
      <x:c r="F117" s="29" t="str">
        <x:v>Have</x:v>
      </x:c>
      <x:c r="G117" s="21" t="str">
        <x:v>See general output tables</x:v>
      </x:c>
      <x:c r="H117" s="21" t="str">
        <x:v>Represented</x:v>
      </x:c>
      <x:c r="I117" s="21" t="str">
        <x:v>Provider/source gaps and qualifications are preserved in the canonical inventory.</x:v>
      </x:c>
      <x:c r="J117" s="21" t="str">
        <x:v>None beyond source-specific refresh and QA.</x:v>
      </x:c>
    </x:row>
    <x:row r="118" ht="64" customHeight="1">
      <x:c r="A118" s="20" t="n">
        <x:v>114</x:v>
      </x:c>
      <x:c r="B118" s="20" t="str">
        <x:v>General</x:v>
      </x:c>
      <x:c r="C118" s="20" t="str">
        <x:v>acs_b25106_owner_50k_74999_cost_20_29pct</x:v>
      </x:c>
      <x:c r="D118" s="20" t="str">
        <x:v>ACS B25106 owner units, income $50k-$74,999, housing costs 20-29%</x:v>
      </x:c>
      <x:c r="E118" s="20" t="str">
        <x:v>U.S. Census Bureau</x:v>
      </x:c>
      <x:c r="F118" s="29" t="str">
        <x:v>Have</x:v>
      </x:c>
      <x:c r="G118" s="20" t="str">
        <x:v>See general output tables</x:v>
      </x:c>
      <x:c r="H118" s="20" t="str">
        <x:v>Represented</x:v>
      </x:c>
      <x:c r="I118" s="20" t="str">
        <x:v>Provider/source gaps and qualifications are preserved in the canonical inventory.</x:v>
      </x:c>
      <x:c r="J118" s="20" t="str">
        <x:v>None beyond source-specific refresh and QA.</x:v>
      </x:c>
    </x:row>
    <x:row r="119" ht="64" customHeight="1">
      <x:c r="A119" s="21" t="n">
        <x:v>115</x:v>
      </x:c>
      <x:c r="B119" s="21" t="str">
        <x:v>General</x:v>
      </x:c>
      <x:c r="C119" s="21" t="str">
        <x:v>acs_b25106_owner_50k_74999_cost_30pluspct</x:v>
      </x:c>
      <x:c r="D119" s="21" t="str">
        <x:v>ACS B25106 owner units, income $50k-$74,999, housing costs 30%+</x:v>
      </x:c>
      <x:c r="E119" s="21" t="str">
        <x:v>U.S. Census Bureau</x:v>
      </x:c>
      <x:c r="F119" s="29" t="str">
        <x:v>Have</x:v>
      </x:c>
      <x:c r="G119" s="21" t="str">
        <x:v>See general output tables</x:v>
      </x:c>
      <x:c r="H119" s="21" t="str">
        <x:v>Represented</x:v>
      </x:c>
      <x:c r="I119" s="21" t="str">
        <x:v>Provider/source gaps and qualifications are preserved in the canonical inventory.</x:v>
      </x:c>
      <x:c r="J119" s="21" t="str">
        <x:v>None beyond source-specific refresh and QA.</x:v>
      </x:c>
    </x:row>
    <x:row r="120" ht="64" customHeight="1">
      <x:c r="A120" s="20" t="n">
        <x:v>116</x:v>
      </x:c>
      <x:c r="B120" s="20" t="str">
        <x:v>General</x:v>
      </x:c>
      <x:c r="C120" s="20" t="str">
        <x:v>acs_b25106_owner_75kplus_cost_lt20pct</x:v>
      </x:c>
      <x:c r="D120" s="20" t="str">
        <x:v>ACS B25106 owner units, income $75k+, housing costs under 20%</x:v>
      </x:c>
      <x:c r="E120" s="20" t="str">
        <x:v>U.S. Census Bureau</x:v>
      </x:c>
      <x:c r="F120" s="29" t="str">
        <x:v>Have</x:v>
      </x:c>
      <x:c r="G120" s="20" t="str">
        <x:v>See general output tables</x:v>
      </x:c>
      <x:c r="H120" s="20" t="str">
        <x:v>Represented</x:v>
      </x:c>
      <x:c r="I120" s="20" t="str">
        <x:v>Provider/source gaps and qualifications are preserved in the canonical inventory.</x:v>
      </x:c>
      <x:c r="J120" s="20" t="str">
        <x:v>None beyond source-specific refresh and QA.</x:v>
      </x:c>
    </x:row>
    <x:row r="121" ht="64" customHeight="1">
      <x:c r="A121" s="21" t="n">
        <x:v>117</x:v>
      </x:c>
      <x:c r="B121" s="21" t="str">
        <x:v>General</x:v>
      </x:c>
      <x:c r="C121" s="21" t="str">
        <x:v>acs_b25106_owner_75kplus_cost_20_29pct</x:v>
      </x:c>
      <x:c r="D121" s="21" t="str">
        <x:v>ACS B25106 owner units, income $75k+, housing costs 20-29%</x:v>
      </x:c>
      <x:c r="E121" s="21" t="str">
        <x:v>U.S. Census Bureau</x:v>
      </x:c>
      <x:c r="F121" s="29" t="str">
        <x:v>Have</x:v>
      </x:c>
      <x:c r="G121" s="21" t="str">
        <x:v>See general output tables</x:v>
      </x:c>
      <x:c r="H121" s="21" t="str">
        <x:v>Represented</x:v>
      </x:c>
      <x:c r="I121" s="21" t="str">
        <x:v>Provider/source gaps and qualifications are preserved in the canonical inventory.</x:v>
      </x:c>
      <x:c r="J121" s="21" t="str">
        <x:v>None beyond source-specific refresh and QA.</x:v>
      </x:c>
    </x:row>
    <x:row r="122" ht="64" customHeight="1">
      <x:c r="A122" s="20" t="n">
        <x:v>118</x:v>
      </x:c>
      <x:c r="B122" s="20" t="str">
        <x:v>General</x:v>
      </x:c>
      <x:c r="C122" s="20" t="str">
        <x:v>acs_b25106_owner_75kplus_cost_30pluspct</x:v>
      </x:c>
      <x:c r="D122" s="20" t="str">
        <x:v>ACS B25106 owner units, income $75k+, housing costs 30%+</x:v>
      </x:c>
      <x:c r="E122" s="20" t="str">
        <x:v>U.S. Census Bureau</x:v>
      </x:c>
      <x:c r="F122" s="29" t="str">
        <x:v>Have</x:v>
      </x:c>
      <x:c r="G122" s="20" t="str">
        <x:v>See general output tables</x:v>
      </x:c>
      <x:c r="H122" s="20" t="str">
        <x:v>Represented</x:v>
      </x:c>
      <x:c r="I122" s="20" t="str">
        <x:v>Provider/source gaps and qualifications are preserved in the canonical inventory.</x:v>
      </x:c>
      <x:c r="J122" s="20" t="str">
        <x:v>None beyond source-specific refresh and QA.</x:v>
      </x:c>
    </x:row>
    <x:row r="123" ht="64" customHeight="1">
      <x:c r="A123" s="21" t="n">
        <x:v>119</x:v>
      </x:c>
      <x:c r="B123" s="21" t="str">
        <x:v>General</x:v>
      </x:c>
      <x:c r="C123" s="21" t="str">
        <x:v>acs_b25106_owner_zero_negative_income</x:v>
      </x:c>
      <x:c r="D123" s="21" t="str">
        <x:v>ACS B25106 owner units, zero or negative income</x:v>
      </x:c>
      <x:c r="E123" s="21" t="str">
        <x:v>U.S. Census Bureau</x:v>
      </x:c>
      <x:c r="F123" s="29" t="str">
        <x:v>Have</x:v>
      </x:c>
      <x:c r="G123" s="21" t="str">
        <x:v>See general output tables</x:v>
      </x:c>
      <x:c r="H123" s="21" t="str">
        <x:v>Represented</x:v>
      </x:c>
      <x:c r="I123" s="21" t="str">
        <x:v>Provider/source gaps and qualifications are preserved in the canonical inventory.</x:v>
      </x:c>
      <x:c r="J123" s="21" t="str">
        <x:v>None beyond source-specific refresh and QA.</x:v>
      </x:c>
    </x:row>
    <x:row r="124" ht="64" customHeight="1">
      <x:c r="A124" s="20" t="n">
        <x:v>120</x:v>
      </x:c>
      <x:c r="B124" s="20" t="str">
        <x:v>General</x:v>
      </x:c>
      <x:c r="C124" s="20" t="str">
        <x:v>acs_implied_aggregate_mortgage_debt_proxy</x:v>
      </x:c>
      <x:c r="D124" s="20" t="str">
        <x:v>ACS implied aggregate mortgage debt proxy</x:v>
      </x:c>
      <x:c r="E124" s="20" t="str">
        <x:v>Constructed</x:v>
      </x:c>
      <x:c r="F124" s="29" t="str">
        <x:v>Have</x:v>
      </x:c>
      <x:c r="G124" s="20" t="str">
        <x:v>See general output tables</x:v>
      </x:c>
      <x:c r="H124" s="20" t="str">
        <x:v>Represented</x:v>
      </x:c>
      <x:c r="I124" s="20" t="str">
        <x:v>Provider/source gaps and qualifications are preserved in the canonical inventory.</x:v>
      </x:c>
      <x:c r="J124" s="20" t="str">
        <x:v>None beyond source-specific refresh and QA.</x:v>
      </x:c>
    </x:row>
    <x:row r="125" ht="64" customHeight="1">
      <x:c r="A125" s="21" t="n">
        <x:v>121</x:v>
      </x:c>
      <x:c r="B125" s="21" t="str">
        <x:v>General</x:v>
      </x:c>
      <x:c r="C125" s="21" t="str">
        <x:v>acs_implied_average_mortgage_balance_proxy</x:v>
      </x:c>
      <x:c r="D125" s="21" t="str">
        <x:v>ACS implied average mortgage balance proxy</x:v>
      </x:c>
      <x:c r="E125" s="21" t="str">
        <x:v>Constructed</x:v>
      </x:c>
      <x:c r="F125" s="29" t="str">
        <x:v>Have</x:v>
      </x:c>
      <x:c r="G125" s="21" t="str">
        <x:v>See general output tables</x:v>
      </x:c>
      <x:c r="H125" s="21" t="str">
        <x:v>Represented</x:v>
      </x:c>
      <x:c r="I125" s="21" t="str">
        <x:v>Provider/source gaps and qualifications are preserved in the canonical inventory.</x:v>
      </x:c>
      <x:c r="J125" s="21" t="str">
        <x:v>None beyond source-specific refresh and QA.</x:v>
      </x:c>
    </x:row>
    <x:row r="126" ht="64" customHeight="1">
      <x:c r="A126" s="20" t="n">
        <x:v>122</x:v>
      </x:c>
      <x:c r="B126" s="20" t="str">
        <x:v>General</x:v>
      </x:c>
      <x:c r="C126" s="20" t="str">
        <x:v>acs_implied_annual_mortgage_debt_service_proxy</x:v>
      </x:c>
      <x:c r="D126" s="20" t="str">
        <x:v>ACS implied annual mortgage debt service proxy</x:v>
      </x:c>
      <x:c r="E126" s="20" t="str">
        <x:v>Constructed</x:v>
      </x:c>
      <x:c r="F126" s="29" t="str">
        <x:v>Have</x:v>
      </x:c>
      <x:c r="G126" s="20" t="str">
        <x:v>See general output tables</x:v>
      </x:c>
      <x:c r="H126" s="20" t="str">
        <x:v>Represented</x:v>
      </x:c>
      <x:c r="I126" s="20" t="str">
        <x:v>Provider/source gaps and qualifications are preserved in the canonical inventory.</x:v>
      </x:c>
      <x:c r="J126" s="20" t="str">
        <x:v>None beyond source-specific refresh and QA.</x:v>
      </x:c>
    </x:row>
    <x:row r="127" ht="64" customHeight="1">
      <x:c r="A127" s="21" t="n">
        <x:v>123</x:v>
      </x:c>
      <x:c r="B127" s="21" t="str">
        <x:v>General</x:v>
      </x:c>
      <x:c r="C127" s="21" t="str">
        <x:v>acs_mortgage_debt_proxy_rate_assumption</x:v>
      </x:c>
      <x:c r="D127" s="21" t="str">
        <x:v>Mortgage debt proxy rate assumption</x:v>
      </x:c>
      <x:c r="E127" s="21" t="str">
        <x:v>Constructed</x:v>
      </x:c>
      <x:c r="F127" s="29" t="str">
        <x:v>Have</x:v>
      </x:c>
      <x:c r="G127" s="21" t="str">
        <x:v>See general output tables</x:v>
      </x:c>
      <x:c r="H127" s="21" t="str">
        <x:v>Represented</x:v>
      </x:c>
      <x:c r="I127" s="21" t="str">
        <x:v>Provider/source gaps and qualifications are preserved in the canonical inventory.</x:v>
      </x:c>
      <x:c r="J127" s="21" t="str">
        <x:v>None beyond source-specific refresh and QA.</x:v>
      </x:c>
    </x:row>
    <x:row r="128" ht="64" customHeight="1">
      <x:c r="A128" s="20" t="n">
        <x:v>124</x:v>
      </x:c>
      <x:c r="B128" s="20" t="str">
        <x:v>General</x:v>
      </x:c>
      <x:c r="C128" s="20" t="str">
        <x:v>acs_mortgage_debt_proxy_term_years_assumption</x:v>
      </x:c>
      <x:c r="D128" s="20" t="str">
        <x:v>Mortgage debt proxy remaining-term assumption</x:v>
      </x:c>
      <x:c r="E128" s="20" t="str">
        <x:v>Constructed</x:v>
      </x:c>
      <x:c r="F128" s="29" t="str">
        <x:v>Have</x:v>
      </x:c>
      <x:c r="G128" s="20" t="str">
        <x:v>See general output tables</x:v>
      </x:c>
      <x:c r="H128" s="20" t="str">
        <x:v>Represented</x:v>
      </x:c>
      <x:c r="I128" s="20" t="str">
        <x:v>Provider/source gaps and qualifications are preserved in the canonical inventory.</x:v>
      </x:c>
      <x:c r="J128" s="20" t="str">
        <x:v>None beyond source-specific refresh and QA.</x:v>
      </x:c>
    </x:row>
    <x:row r="129" ht="64" customHeight="1">
      <x:c r="A129" s="21" t="n">
        <x:v>125</x:v>
      </x:c>
      <x:c r="B129" s="21" t="str">
        <x:v>General</x:v>
      </x:c>
      <x:c r="C129" s="21" t="str">
        <x:v>acs_mortgage_debt_proxy_debt_service_share_assumption</x:v>
      </x:c>
      <x:c r="D129" s="21" t="str">
        <x:v>Mortgage debt proxy debt-service-share assumption</x:v>
      </x:c>
      <x:c r="E129" s="21" t="str">
        <x:v>Constructed</x:v>
      </x:c>
      <x:c r="F129" s="29" t="str">
        <x:v>Have</x:v>
      </x:c>
      <x:c r="G129" s="21" t="str">
        <x:v>See general output tables</x:v>
      </x:c>
      <x:c r="H129" s="21" t="str">
        <x:v>Represented</x:v>
      </x:c>
      <x:c r="I129" s="21" t="str">
        <x:v>Provider/source gaps and qualifications are preserved in the canonical inventory.</x:v>
      </x:c>
      <x:c r="J129" s="21" t="str">
        <x:v>None beyond source-specific refresh and QA.</x:v>
      </x:c>
    </x:row>
    <x:row r="130" ht="64" customHeight="1">
      <x:c r="A130" s="20" t="n">
        <x:v>126</x:v>
      </x:c>
      <x:c r="B130" s="20" t="str">
        <x:v>General</x:v>
      </x:c>
      <x:c r="C130" s="20" t="str">
        <x:v>acs_implied_aggregate_home_equity_proxy</x:v>
      </x:c>
      <x:c r="D130" s="20" t="str">
        <x:v>ACS implied aggregate home equity proxy</x:v>
      </x:c>
      <x:c r="E130" s="20" t="str">
        <x:v>Constructed</x:v>
      </x:c>
      <x:c r="F130" s="29" t="str">
        <x:v>Have</x:v>
      </x:c>
      <x:c r="G130" s="20" t="str">
        <x:v>See general output tables</x:v>
      </x:c>
      <x:c r="H130" s="20" t="str">
        <x:v>Represented</x:v>
      </x:c>
      <x:c r="I130" s="20" t="str">
        <x:v>Provider/source gaps and qualifications are preserved in the canonical inventory.</x:v>
      </x:c>
      <x:c r="J130" s="20" t="str">
        <x:v>None beyond source-specific refresh and QA.</x:v>
      </x:c>
    </x:row>
    <x:row r="131" ht="64" customHeight="1">
      <x:c r="A131" s="21" t="n">
        <x:v>127</x:v>
      </x:c>
      <x:c r="B131" s="21" t="str">
        <x:v>General</x:v>
      </x:c>
      <x:c r="C131" s="21" t="str">
        <x:v>cdc_wonder_live_births_annual</x:v>
      </x:c>
      <x:c r="D131" s="21" t="str">
        <x:v>CDC WONDER LA County annual live births</x:v>
      </x:c>
      <x:c r="E131" s="21" t="str">
        <x:v>CDC WONDER / National Center for Health Statistics</x:v>
      </x:c>
      <x:c r="F131" s="29" t="str">
        <x:v>Have</x:v>
      </x:c>
      <x:c r="G131" s="21" t="str">
        <x:v>See general output tables</x:v>
      </x:c>
      <x:c r="H131" s="21" t="str">
        <x:v>Represented</x:v>
      </x:c>
      <x:c r="I131" s="21" t="str">
        <x:v>Provider/source gaps and qualifications are preserved in the canonical inventory.</x:v>
      </x:c>
      <x:c r="J131" s="21" t="str">
        <x:v>None beyond source-specific refresh and QA.</x:v>
      </x:c>
    </x:row>
    <x:row r="132" ht="64" customHeight="1">
      <x:c r="A132" s="20" t="n">
        <x:v>128</x:v>
      </x:c>
      <x:c r="B132" s="20" t="str">
        <x:v>General</x:v>
      </x:c>
      <x:c r="C132" s="20" t="str">
        <x:v>cdc_wonder_deaths_annual</x:v>
      </x:c>
      <x:c r="D132" s="20" t="str">
        <x:v>CDC WONDER LA County annual deaths</x:v>
      </x:c>
      <x:c r="E132" s="20" t="str">
        <x:v>CDC WONDER / National Center for Health Statistics</x:v>
      </x:c>
      <x:c r="F132" s="29" t="str">
        <x:v>Have</x:v>
      </x:c>
      <x:c r="G132" s="20" t="str">
        <x:v>See general output tables</x:v>
      </x:c>
      <x:c r="H132" s="20" t="str">
        <x:v>Represented</x:v>
      </x:c>
      <x:c r="I132" s="20" t="str">
        <x:v>Provider/source gaps and qualifications are preserved in the canonical inventory.</x:v>
      </x:c>
      <x:c r="J132" s="20" t="str">
        <x:v>None beyond source-specific refresh and QA.</x:v>
      </x:c>
    </x:row>
    <x:row r="133" ht="64" customHeight="1">
      <x:c r="A133" s="21" t="n">
        <x:v>129</x:v>
      </x:c>
      <x:c r="B133" s="21" t="str">
        <x:v>General</x:v>
      </x:c>
      <x:c r="C133" s="21" t="str">
        <x:v>natural_population_change_annual</x:v>
      </x:c>
      <x:c r="D133" s="21" t="str">
        <x:v>Annual natural population change</x:v>
      </x:c>
      <x:c r="E133" s="21" t="str">
        <x:v>Constructed from CDC WONDER</x:v>
      </x:c>
      <x:c r="F133" s="29" t="str">
        <x:v>Have</x:v>
      </x:c>
      <x:c r="G133" s="21" t="str">
        <x:v>See general output tables</x:v>
      </x:c>
      <x:c r="H133" s="21" t="str">
        <x:v>Represented</x:v>
      </x:c>
      <x:c r="I133" s="21" t="str">
        <x:v>Provider/source gaps and qualifications are preserved in the canonical inventory.</x:v>
      </x:c>
      <x:c r="J133" s="21" t="str">
        <x:v>None beyond source-specific refresh and QA.</x:v>
      </x:c>
    </x:row>
    <x:row r="134" ht="64" customHeight="1">
      <x:c r="A134" s="20" t="n">
        <x:v>130</x:v>
      </x:c>
      <x:c r="B134" s="20" t="str">
        <x:v>General</x:v>
      </x:c>
      <x:c r="C134" s="20" t="str">
        <x:v>natural_population_change_quarterly_allocated</x:v>
      </x:c>
      <x:c r="D134" s="20" t="str">
        <x:v>Quarterly allocated natural population change</x:v>
      </x:c>
      <x:c r="E134" s="20" t="str">
        <x:v>Constructed from CDC WONDER</x:v>
      </x:c>
      <x:c r="F134" s="29" t="str">
        <x:v>Have</x:v>
      </x:c>
      <x:c r="G134" s="20" t="str">
        <x:v>See general output tables</x:v>
      </x:c>
      <x:c r="H134" s="20" t="str">
        <x:v>Represented</x:v>
      </x:c>
      <x:c r="I134" s="20" t="str">
        <x:v>Provider/source gaps and qualifications are preserved in the canonical inventory.</x:v>
      </x:c>
      <x:c r="J134" s="20" t="str">
        <x:v>None beyond source-specific refresh and QA.</x:v>
      </x:c>
    </x:row>
    <x:row r="135" ht="64" customHeight="1">
      <x:c r="A135" s="21" t="n">
        <x:v>131</x:v>
      </x:c>
      <x:c r="B135" s="21" t="str">
        <x:v>General</x:v>
      </x:c>
      <x:c r="C135" s="21" t="str">
        <x:v>eviction_lab_renting_households_annual</x:v>
      </x:c>
      <x:c r="D135" s="21" t="str">
        <x:v>Eviction Lab renter households</x:v>
      </x:c>
      <x:c r="E135" s="21" t="str">
        <x:v>Eviction Lab</x:v>
      </x:c>
      <x:c r="F135" s="29" t="str">
        <x:v>Have</x:v>
      </x:c>
      <x:c r="G135" s="21" t="str">
        <x:v>See general output tables</x:v>
      </x:c>
      <x:c r="H135" s="21" t="str">
        <x:v>Represented</x:v>
      </x:c>
      <x:c r="I135" s="21" t="str">
        <x:v>Provider/source gaps and qualifications are preserved in the canonical inventory.</x:v>
      </x:c>
      <x:c r="J135" s="21" t="str">
        <x:v>None beyond source-specific refresh and QA.</x:v>
      </x:c>
    </x:row>
    <x:row r="136" ht="64" customHeight="1">
      <x:c r="A136" s="20" t="n">
        <x:v>132</x:v>
      </x:c>
      <x:c r="B136" s="20" t="str">
        <x:v>General</x:v>
      </x:c>
      <x:c r="C136" s="20" t="str">
        <x:v>eviction_lab_filings_estimate_annual</x:v>
      </x:c>
      <x:c r="D136" s="20" t="str">
        <x:v>Eviction Lab annual eviction filings estimate</x:v>
      </x:c>
      <x:c r="E136" s="20" t="str">
        <x:v>Eviction Lab</x:v>
      </x:c>
      <x:c r="F136" s="29" t="str">
        <x:v>Have</x:v>
      </x:c>
      <x:c r="G136" s="20" t="str">
        <x:v>See general output tables</x:v>
      </x:c>
      <x:c r="H136" s="20" t="str">
        <x:v>Represented</x:v>
      </x:c>
      <x:c r="I136" s="20" t="str">
        <x:v>Provider/source gaps and qualifications are preserved in the canonical inventory.</x:v>
      </x:c>
      <x:c r="J136" s="20" t="str">
        <x:v>None beyond source-specific refresh and QA.</x:v>
      </x:c>
    </x:row>
    <x:row r="137" ht="64" customHeight="1">
      <x:c r="A137" s="21" t="n">
        <x:v>133</x:v>
      </x:c>
      <x:c r="B137" s="21" t="str">
        <x:v>General</x:v>
      </x:c>
      <x:c r="C137" s="21" t="str">
        <x:v>eviction_lab_filings_ci_95_lower_annual</x:v>
      </x:c>
      <x:c r="D137" s="21" t="str">
        <x:v>Eviction Lab eviction filings lower 95% credible interval</x:v>
      </x:c>
      <x:c r="E137" s="21" t="str">
        <x:v>Eviction Lab</x:v>
      </x:c>
      <x:c r="F137" s="29" t="str">
        <x:v>Have</x:v>
      </x:c>
      <x:c r="G137" s="21" t="str">
        <x:v>See general output tables</x:v>
      </x:c>
      <x:c r="H137" s="21" t="str">
        <x:v>Represented</x:v>
      </x:c>
      <x:c r="I137" s="21" t="str">
        <x:v>Provider/source gaps and qualifications are preserved in the canonical inventory.</x:v>
      </x:c>
      <x:c r="J137" s="21" t="str">
        <x:v>None beyond source-specific refresh and QA.</x:v>
      </x:c>
    </x:row>
    <x:row r="138" ht="64" customHeight="1">
      <x:c r="A138" s="20" t="n">
        <x:v>134</x:v>
      </x:c>
      <x:c r="B138" s="20" t="str">
        <x:v>General</x:v>
      </x:c>
      <x:c r="C138" s="20" t="str">
        <x:v>eviction_lab_filings_ci_95_upper_annual</x:v>
      </x:c>
      <x:c r="D138" s="20" t="str">
        <x:v>Eviction Lab eviction filings upper 95% credible interval</x:v>
      </x:c>
      <x:c r="E138" s="20" t="str">
        <x:v>Eviction Lab</x:v>
      </x:c>
      <x:c r="F138" s="29" t="str">
        <x:v>Have</x:v>
      </x:c>
      <x:c r="G138" s="20" t="str">
        <x:v>See general output tables</x:v>
      </x:c>
      <x:c r="H138" s="20" t="str">
        <x:v>Represented</x:v>
      </x:c>
      <x:c r="I138" s="20" t="str">
        <x:v>Provider/source gaps and qualifications are preserved in the canonical inventory.</x:v>
      </x:c>
      <x:c r="J138" s="20" t="str">
        <x:v>None beyond source-specific refresh and QA.</x:v>
      </x:c>
    </x:row>
    <x:row r="139" ht="64" customHeight="1">
      <x:c r="A139" s="21" t="n">
        <x:v>135</x:v>
      </x:c>
      <x:c r="B139" s="21" t="str">
        <x:v>General</x:v>
      </x:c>
      <x:c r="C139" s="21" t="str">
        <x:v>eviction_lab_filings_rate_estimate_annual</x:v>
      </x:c>
      <x:c r="D139" s="21" t="str">
        <x:v>Eviction Lab annual eviction filing rate estimate</x:v>
      </x:c>
      <x:c r="E139" s="21" t="str">
        <x:v>Constructed from Eviction Lab</x:v>
      </x:c>
      <x:c r="F139" s="29" t="str">
        <x:v>Have</x:v>
      </x:c>
      <x:c r="G139" s="21" t="str">
        <x:v>See general output tables</x:v>
      </x:c>
      <x:c r="H139" s="21" t="str">
        <x:v>Represented</x:v>
      </x:c>
      <x:c r="I139" s="21" t="str">
        <x:v>Provider/source gaps and qualifications are preserved in the canonical inventory.</x:v>
      </x:c>
      <x:c r="J139" s="21" t="str">
        <x:v>None beyond source-specific refresh and QA.</x:v>
      </x:c>
    </x:row>
    <x:row r="140" ht="64" customHeight="1">
      <x:c r="A140" s="20" t="n">
        <x:v>136</x:v>
      </x:c>
      <x:c r="B140" s="20" t="str">
        <x:v>General</x:v>
      </x:c>
      <x:c r="C140" s="20" t="str">
        <x:v>eviction_lab_households_threatened_estimate_annual</x:v>
      </x:c>
      <x:c r="D140" s="20" t="str">
        <x:v>Eviction Lab annual households threatened estimate</x:v>
      </x:c>
      <x:c r="E140" s="20" t="str">
        <x:v>Eviction Lab</x:v>
      </x:c>
      <x:c r="F140" s="29" t="str">
        <x:v>Have</x:v>
      </x:c>
      <x:c r="G140" s="20" t="str">
        <x:v>See general output tables</x:v>
      </x:c>
      <x:c r="H140" s="20" t="str">
        <x:v>Represented</x:v>
      </x:c>
      <x:c r="I140" s="20" t="str">
        <x:v>Provider/source gaps and qualifications are preserved in the canonical inventory.</x:v>
      </x:c>
      <x:c r="J140" s="20" t="str">
        <x:v>None beyond source-specific refresh and QA.</x:v>
      </x:c>
    </x:row>
    <x:row r="141" ht="64" customHeight="1">
      <x:c r="A141" s="21" t="n">
        <x:v>137</x:v>
      </x:c>
      <x:c r="B141" s="21" t="str">
        <x:v>General</x:v>
      </x:c>
      <x:c r="C141" s="21" t="str">
        <x:v>eviction_lab_households_threatened_ci_95_lower_annual</x:v>
      </x:c>
      <x:c r="D141" s="21" t="str">
        <x:v>Eviction Lab households threatened lower 95% credible interval</x:v>
      </x:c>
      <x:c r="E141" s="21" t="str">
        <x:v>Eviction Lab</x:v>
      </x:c>
      <x:c r="F141" s="29" t="str">
        <x:v>Have</x:v>
      </x:c>
      <x:c r="G141" s="21" t="str">
        <x:v>See general output tables</x:v>
      </x:c>
      <x:c r="H141" s="21" t="str">
        <x:v>Represented</x:v>
      </x:c>
      <x:c r="I141" s="21" t="str">
        <x:v>Provider/source gaps and qualifications are preserved in the canonical inventory.</x:v>
      </x:c>
      <x:c r="J141" s="21" t="str">
        <x:v>None beyond source-specific refresh and QA.</x:v>
      </x:c>
    </x:row>
    <x:row r="142" ht="64" customHeight="1">
      <x:c r="A142" s="20" t="n">
        <x:v>138</x:v>
      </x:c>
      <x:c r="B142" s="20" t="str">
        <x:v>General</x:v>
      </x:c>
      <x:c r="C142" s="20" t="str">
        <x:v>eviction_lab_households_threatened_ci_95_upper_annual</x:v>
      </x:c>
      <x:c r="D142" s="20" t="str">
        <x:v>Eviction Lab households threatened upper 95% credible interval</x:v>
      </x:c>
      <x:c r="E142" s="20" t="str">
        <x:v>Eviction Lab</x:v>
      </x:c>
      <x:c r="F142" s="29" t="str">
        <x:v>Have</x:v>
      </x:c>
      <x:c r="G142" s="20" t="str">
        <x:v>See general output tables</x:v>
      </x:c>
      <x:c r="H142" s="20" t="str">
        <x:v>Represented</x:v>
      </x:c>
      <x:c r="I142" s="20" t="str">
        <x:v>Provider/source gaps and qualifications are preserved in the canonical inventory.</x:v>
      </x:c>
      <x:c r="J142" s="20" t="str">
        <x:v>None beyond source-specific refresh and QA.</x:v>
      </x:c>
    </x:row>
    <x:row r="143" ht="64" customHeight="1">
      <x:c r="A143" s="21" t="n">
        <x:v>139</x:v>
      </x:c>
      <x:c r="B143" s="21" t="str">
        <x:v>General</x:v>
      </x:c>
      <x:c r="C143" s="21" t="str">
        <x:v>eviction_lab_households_threatened_rate_estimate_annual</x:v>
      </x:c>
      <x:c r="D143" s="21" t="str">
        <x:v>Eviction Lab annual households threatened rate estimate</x:v>
      </x:c>
      <x:c r="E143" s="21" t="str">
        <x:v>Constructed from Eviction Lab</x:v>
      </x:c>
      <x:c r="F143" s="29" t="str">
        <x:v>Have</x:v>
      </x:c>
      <x:c r="G143" s="21" t="str">
        <x:v>See general output tables</x:v>
      </x:c>
      <x:c r="H143" s="21" t="str">
        <x:v>Represented</x:v>
      </x:c>
      <x:c r="I143" s="21" t="str">
        <x:v>Provider/source gaps and qualifications are preserved in the canonical inventory.</x:v>
      </x:c>
      <x:c r="J143" s="21" t="str">
        <x:v>None beyond source-specific refresh and QA.</x:v>
      </x:c>
    </x:row>
    <x:row r="144" ht="64" customHeight="1">
      <x:c r="A144" s="20" t="n">
        <x:v>140</x:v>
      </x:c>
      <x:c r="B144" s="20" t="str">
        <x:v>General</x:v>
      </x:c>
      <x:c r="C144" s="20" t="str">
        <x:v>eviction_lab_filings_court_issued_observed_flag</x:v>
      </x:c>
      <x:c r="D144" s="20" t="str">
        <x:v>Eviction Lab filings court-issued observed flag</x:v>
      </x:c>
      <x:c r="E144" s="20" t="str">
        <x:v>Eviction Lab</x:v>
      </x:c>
      <x:c r="F144" s="29" t="str">
        <x:v>Have</x:v>
      </x:c>
      <x:c r="G144" s="20" t="str">
        <x:v>See general output tables</x:v>
      </x:c>
      <x:c r="H144" s="20" t="str">
        <x:v>Represented</x:v>
      </x:c>
      <x:c r="I144" s="20" t="str">
        <x:v>Provider/source gaps and qualifications are preserved in the canonical inventory.</x:v>
      </x:c>
      <x:c r="J144" s="20" t="str">
        <x:v>None beyond source-specific refresh and QA.</x:v>
      </x:c>
    </x:row>
    <x:row r="145" ht="64" customHeight="1">
      <x:c r="A145" s="21" t="n">
        <x:v>141</x:v>
      </x:c>
      <x:c r="B145" s="21" t="str">
        <x:v>General</x:v>
      </x:c>
      <x:c r="C145" s="21" t="str">
        <x:v>eviction_lab_filings_court_issued_landlord_tenant_flag</x:v>
      </x:c>
      <x:c r="D145" s="21" t="str">
        <x:v>Eviction Lab filings landlord-tenant court data flag</x:v>
      </x:c>
      <x:c r="E145" s="21" t="str">
        <x:v>Eviction Lab</x:v>
      </x:c>
      <x:c r="F145" s="29" t="str">
        <x:v>Have</x:v>
      </x:c>
      <x:c r="G145" s="21" t="str">
        <x:v>See general output tables</x:v>
      </x:c>
      <x:c r="H145" s="21" t="str">
        <x:v>Represented</x:v>
      </x:c>
      <x:c r="I145" s="21" t="str">
        <x:v>Provider/source gaps and qualifications are preserved in the canonical inventory.</x:v>
      </x:c>
      <x:c r="J145" s="21" t="str">
        <x:v>None beyond source-specific refresh and QA.</x:v>
      </x:c>
    </x:row>
    <x:row r="146" ht="64" customHeight="1">
      <x:c r="A146" s="20" t="n">
        <x:v>142</x:v>
      </x:c>
      <x:c r="B146" s="20" t="str">
        <x:v>General</x:v>
      </x:c>
      <x:c r="C146" s="20" t="str">
        <x:v>eviction_lab_households_threatened_observed_flag</x:v>
      </x:c>
      <x:c r="D146" s="20" t="str">
        <x:v>Eviction Lab households threatened observed flag</x:v>
      </x:c>
      <x:c r="E146" s="20" t="str">
        <x:v>Eviction Lab</x:v>
      </x:c>
      <x:c r="F146" s="29" t="str">
        <x:v>Have</x:v>
      </x:c>
      <x:c r="G146" s="20" t="str">
        <x:v>See general output tables</x:v>
      </x:c>
      <x:c r="H146" s="20" t="str">
        <x:v>Represented</x:v>
      </x:c>
      <x:c r="I146" s="20" t="str">
        <x:v>Provider/source gaps and qualifications are preserved in the canonical inventory.</x:v>
      </x:c>
      <x:c r="J146" s="20" t="str">
        <x:v>None beyond source-specific refresh and QA.</x:v>
      </x:c>
    </x:row>
    <x:row r="147" ht="64" customHeight="1">
      <x:c r="A147" s="21" t="n">
        <x:v>143</x:v>
      </x:c>
      <x:c r="B147" s="21" t="str">
        <x:v>General</x:v>
      </x:c>
      <x:c r="C147" s="21" t="str">
        <x:v>zhvi_growth_mom</x:v>
      </x:c>
      <x:c r="D147" s="21" t="str">
        <x:v>ZHVI Month-over-Month Growth</x:v>
      </x:c>
      <x:c r="E147" s="21" t="str">
        <x:v>Constructed</x:v>
      </x:c>
      <x:c r="F147" s="29" t="str">
        <x:v>Have</x:v>
      </x:c>
      <x:c r="G147" s="21" t="str">
        <x:v>See general output tables</x:v>
      </x:c>
      <x:c r="H147" s="21" t="str">
        <x:v>Represented</x:v>
      </x:c>
      <x:c r="I147" s="21" t="str">
        <x:v>Provider/source gaps and qualifications are preserved in the canonical inventory.</x:v>
      </x:c>
      <x:c r="J147" s="21" t="str">
        <x:v>None beyond source-specific refresh and QA.</x:v>
      </x:c>
    </x:row>
    <x:row r="148" ht="64" customHeight="1">
      <x:c r="A148" s="20" t="n">
        <x:v>144</x:v>
      </x:c>
      <x:c r="B148" s="20" t="str">
        <x:v>General</x:v>
      </x:c>
      <x:c r="C148" s="20" t="str">
        <x:v>zhvi_growth_yoy</x:v>
      </x:c>
      <x:c r="D148" s="20" t="str">
        <x:v>ZHVI Year-over-Year Growth</x:v>
      </x:c>
      <x:c r="E148" s="20" t="str">
        <x:v>Constructed</x:v>
      </x:c>
      <x:c r="F148" s="29" t="str">
        <x:v>Have</x:v>
      </x:c>
      <x:c r="G148" s="20" t="str">
        <x:v>See general output tables</x:v>
      </x:c>
      <x:c r="H148" s="20" t="str">
        <x:v>Represented</x:v>
      </x:c>
      <x:c r="I148" s="20" t="str">
        <x:v>Provider/source gaps and qualifications are preserved in the canonical inventory.</x:v>
      </x:c>
      <x:c r="J148" s="20" t="str">
        <x:v>None beyond source-specific refresh and QA.</x:v>
      </x:c>
    </x:row>
    <x:row r="149" ht="64" customHeight="1">
      <x:c r="A149" s="21" t="n">
        <x:v>145</x:v>
      </x:c>
      <x:c r="B149" s="21" t="str">
        <x:v>General</x:v>
      </x:c>
      <x:c r="C149" s="21" t="str">
        <x:v>zori_growth_mom</x:v>
      </x:c>
      <x:c r="D149" s="21" t="str">
        <x:v>ZORI Month-over-Month Growth</x:v>
      </x:c>
      <x:c r="E149" s="21" t="str">
        <x:v>Constructed</x:v>
      </x:c>
      <x:c r="F149" s="29" t="str">
        <x:v>Have</x:v>
      </x:c>
      <x:c r="G149" s="21" t="str">
        <x:v>See general output tables</x:v>
      </x:c>
      <x:c r="H149" s="21" t="str">
        <x:v>Represented</x:v>
      </x:c>
      <x:c r="I149" s="21" t="str">
        <x:v>Provider/source gaps and qualifications are preserved in the canonical inventory.</x:v>
      </x:c>
      <x:c r="J149" s="21" t="str">
        <x:v>None beyond source-specific refresh and QA.</x:v>
      </x:c>
    </x:row>
    <x:row r="150" ht="64" customHeight="1">
      <x:c r="A150" s="20" t="n">
        <x:v>146</x:v>
      </x:c>
      <x:c r="B150" s="20" t="str">
        <x:v>General</x:v>
      </x:c>
      <x:c r="C150" s="20" t="str">
        <x:v>zori_growth_yoy</x:v>
      </x:c>
      <x:c r="D150" s="20" t="str">
        <x:v>ZORI Year-over-Year Growth</x:v>
      </x:c>
      <x:c r="E150" s="20" t="str">
        <x:v>Constructed</x:v>
      </x:c>
      <x:c r="F150" s="29" t="str">
        <x:v>Have</x:v>
      </x:c>
      <x:c r="G150" s="20" t="str">
        <x:v>See general output tables</x:v>
      </x:c>
      <x:c r="H150" s="20" t="str">
        <x:v>Represented</x:v>
      </x:c>
      <x:c r="I150" s="20" t="str">
        <x:v>Provider/source gaps and qualifications are preserved in the canonical inventory.</x:v>
      </x:c>
      <x:c r="J150" s="20" t="str">
        <x:v>None beyond source-specific refresh and QA.</x:v>
      </x:c>
    </x:row>
    <x:row r="151" ht="64" customHeight="1">
      <x:c r="A151" s="21" t="n">
        <x:v>147</x:v>
      </x:c>
      <x:c r="B151" s="21" t="str">
        <x:v>General</x:v>
      </x:c>
      <x:c r="C151" s="21" t="str">
        <x:v>inventory_growth_mom</x:v>
      </x:c>
      <x:c r="D151" s="21" t="str">
        <x:v>Active Inventory Month-over-Month Growth</x:v>
      </x:c>
      <x:c r="E151" s="21" t="str">
        <x:v>Constructed</x:v>
      </x:c>
      <x:c r="F151" s="29" t="str">
        <x:v>Have</x:v>
      </x:c>
      <x:c r="G151" s="21" t="str">
        <x:v>See general output tables</x:v>
      </x:c>
      <x:c r="H151" s="21" t="str">
        <x:v>Represented</x:v>
      </x:c>
      <x:c r="I151" s="21" t="str">
        <x:v>Provider/source gaps and qualifications are preserved in the canonical inventory.</x:v>
      </x:c>
      <x:c r="J151" s="21" t="str">
        <x:v>None beyond source-specific refresh and QA.</x:v>
      </x:c>
    </x:row>
    <x:row r="152" ht="64" customHeight="1">
      <x:c r="A152" s="20" t="n">
        <x:v>148</x:v>
      </x:c>
      <x:c r="B152" s="20" t="str">
        <x:v>General</x:v>
      </x:c>
      <x:c r="C152" s="20" t="str">
        <x:v>inventory_growth_yoy</x:v>
      </x:c>
      <x:c r="D152" s="20" t="str">
        <x:v>Active Inventory Year-over-Year Growth</x:v>
      </x:c>
      <x:c r="E152" s="20" t="str">
        <x:v>Constructed</x:v>
      </x:c>
      <x:c r="F152" s="29" t="str">
        <x:v>Have</x:v>
      </x:c>
      <x:c r="G152" s="20" t="str">
        <x:v>See general output tables</x:v>
      </x:c>
      <x:c r="H152" s="20" t="str">
        <x:v>Represented</x:v>
      </x:c>
      <x:c r="I152" s="20" t="str">
        <x:v>Provider/source gaps and qualifications are preserved in the canonical inventory.</x:v>
      </x:c>
      <x:c r="J152" s="20" t="str">
        <x:v>None beyond source-specific refresh and QA.</x:v>
      </x:c>
    </x:row>
    <x:row r="153" ht="64" customHeight="1">
      <x:c r="A153" s="21" t="n">
        <x:v>149</x:v>
      </x:c>
      <x:c r="B153" s="21" t="str">
        <x:v>General</x:v>
      </x:c>
      <x:c r="C153" s="21" t="str">
        <x:v>price_to_rent_ratio</x:v>
      </x:c>
      <x:c r="D153" s="21" t="str">
        <x:v>Price-to-Rent Ratio</x:v>
      </x:c>
      <x:c r="E153" s="21" t="str">
        <x:v>Constructed</x:v>
      </x:c>
      <x:c r="F153" s="29" t="str">
        <x:v>Have</x:v>
      </x:c>
      <x:c r="G153" s="21" t="str">
        <x:v>See general output tables</x:v>
      </x:c>
      <x:c r="H153" s="21" t="str">
        <x:v>Represented</x:v>
      </x:c>
      <x:c r="I153" s="21" t="str">
        <x:v>Provider/source gaps and qualifications are preserved in the canonical inventory.</x:v>
      </x:c>
      <x:c r="J153" s="21" t="str">
        <x:v>None beyond source-specific refresh and QA.</x:v>
      </x:c>
    </x:row>
    <x:row r="154" ht="64" customHeight="1">
      <x:c r="A154" s="20" t="n">
        <x:v>150</x:v>
      </x:c>
      <x:c r="B154" s="20" t="str">
        <x:v>General</x:v>
      </x:c>
      <x:c r="C154" s="20" t="str">
        <x:v>price_to_rent_ratio_zillow</x:v>
      </x:c>
      <x:c r="D154" s="20" t="str">
        <x:v>Zillow price-to-rent ratio</x:v>
      </x:c>
      <x:c r="E154" s="20" t="str">
        <x:v>Constructed from Zillow Research</x:v>
      </x:c>
      <x:c r="F154" s="29" t="str">
        <x:v>Have</x:v>
      </x:c>
      <x:c r="G154" s="20" t="str">
        <x:v>See general output tables</x:v>
      </x:c>
      <x:c r="H154" s="20" t="str">
        <x:v>Represented</x:v>
      </x:c>
      <x:c r="I154" s="20" t="str">
        <x:v>Provider/source gaps and qualifications are preserved in the canonical inventory.</x:v>
      </x:c>
      <x:c r="J154" s="20" t="str">
        <x:v>None beyond source-specific refresh and QA.</x:v>
      </x:c>
    </x:row>
    <x:row r="155" ht="64" customHeight="1">
      <x:c r="A155" s="21" t="n">
        <x:v>151</x:v>
      </x:c>
      <x:c r="B155" s="21" t="str">
        <x:v>General</x:v>
      </x:c>
      <x:c r="C155" s="21" t="str">
        <x:v>implied_gross_rent_yield</x:v>
      </x:c>
      <x:c r="D155" s="21" t="str">
        <x:v>Implied gross rent yield</x:v>
      </x:c>
      <x:c r="E155" s="21" t="str">
        <x:v>Constructed from Zillow Research</x:v>
      </x:c>
      <x:c r="F155" s="29" t="str">
        <x:v>Have</x:v>
      </x:c>
      <x:c r="G155" s="21" t="str">
        <x:v>See general output tables</x:v>
      </x:c>
      <x:c r="H155" s="21" t="str">
        <x:v>Represented</x:v>
      </x:c>
      <x:c r="I155" s="21" t="str">
        <x:v>Provider/source gaps and qualifications are preserved in the canonical inventory.</x:v>
      </x:c>
      <x:c r="J155" s="21" t="str">
        <x:v>None beyond source-specific refresh and QA.</x:v>
      </x:c>
    </x:row>
    <x:row r="156" ht="64" customHeight="1">
      <x:c r="A156" s="20" t="n">
        <x:v>152</x:v>
      </x:c>
      <x:c r="B156" s="20" t="str">
        <x:v>General</x:v>
      </x:c>
      <x:c r="C156" s="20" t="str">
        <x:v>inventory_to_sales_ratio</x:v>
      </x:c>
      <x:c r="D156" s="20" t="str">
        <x:v>Inventory-to-Sales Ratio</x:v>
      </x:c>
      <x:c r="E156" s="20" t="str">
        <x:v>Constructed</x:v>
      </x:c>
      <x:c r="F156" s="29" t="str">
        <x:v>Have</x:v>
      </x:c>
      <x:c r="G156" s="20" t="str">
        <x:v>See general output tables</x:v>
      </x:c>
      <x:c r="H156" s="20" t="str">
        <x:v>Represented</x:v>
      </x:c>
      <x:c r="I156" s="20" t="str">
        <x:v>Provider/source gaps and qualifications are preserved in the canonical inventory.</x:v>
      </x:c>
      <x:c r="J156" s="20" t="str">
        <x:v>None beyond source-specific refresh and QA.</x:v>
      </x:c>
    </x:row>
    <x:row r="157" ht="64" customHeight="1">
      <x:c r="A157" s="21" t="n">
        <x:v>153</x:v>
      </x:c>
      <x:c r="B157" s="21" t="str">
        <x:v>General</x:v>
      </x:c>
      <x:c r="C157" s="21" t="str">
        <x:v>mortgage_payment_10pct_down</x:v>
      </x:c>
      <x:c r="D157" s="21" t="str">
        <x:v>Mortgage Payment with 10 Percent Down</x:v>
      </x:c>
      <x:c r="E157" s="21" t="str">
        <x:v>Constructed</x:v>
      </x:c>
      <x:c r="F157" s="29" t="str">
        <x:v>Have</x:v>
      </x:c>
      <x:c r="G157" s="21" t="str">
        <x:v>See general output tables</x:v>
      </x:c>
      <x:c r="H157" s="21" t="str">
        <x:v>Represented</x:v>
      </x:c>
      <x:c r="I157" s="21" t="str">
        <x:v>Provider/source gaps and qualifications are preserved in the canonical inventory.</x:v>
      </x:c>
      <x:c r="J157" s="21" t="str">
        <x:v>None beyond source-specific refresh and QA.</x:v>
      </x:c>
    </x:row>
    <x:row r="158" ht="64" customHeight="1">
      <x:c r="A158" s="20" t="n">
        <x:v>154</x:v>
      </x:c>
      <x:c r="B158" s="20" t="str">
        <x:v>General</x:v>
      </x:c>
      <x:c r="C158" s="20" t="str">
        <x:v>mortgage_payment_20pct_down</x:v>
      </x:c>
      <x:c r="D158" s="20" t="str">
        <x:v>Mortgage Payment with 20 Percent Down</x:v>
      </x:c>
      <x:c r="E158" s="20" t="str">
        <x:v>Constructed</x:v>
      </x:c>
      <x:c r="F158" s="29" t="str">
        <x:v>Have</x:v>
      </x:c>
      <x:c r="G158" s="20" t="str">
        <x:v>See general output tables</x:v>
      </x:c>
      <x:c r="H158" s="20" t="str">
        <x:v>Represented</x:v>
      </x:c>
      <x:c r="I158" s="20" t="str">
        <x:v>Provider/source gaps and qualifications are preserved in the canonical inventory.</x:v>
      </x:c>
      <x:c r="J158" s="20" t="str">
        <x:v>None beyond source-specific refresh and QA.</x:v>
      </x:c>
    </x:row>
    <x:row r="159" ht="64" customHeight="1">
      <x:c r="A159" s="21" t="n">
        <x:v>155</x:v>
      </x:c>
      <x:c r="B159" s="21" t="str">
        <x:v>General</x:v>
      </x:c>
      <x:c r="C159" s="21" t="str">
        <x:v>mortgage_payment_to_rent_10pct_down</x:v>
      </x:c>
      <x:c r="D159" s="21" t="str">
        <x:v>Mortgage Payment-to-Rent with 10 Percent Down</x:v>
      </x:c>
      <x:c r="E159" s="21" t="str">
        <x:v>Constructed</x:v>
      </x:c>
      <x:c r="F159" s="29" t="str">
        <x:v>Have</x:v>
      </x:c>
      <x:c r="G159" s="21" t="str">
        <x:v>See general output tables</x:v>
      </x:c>
      <x:c r="H159" s="21" t="str">
        <x:v>Represented</x:v>
      </x:c>
      <x:c r="I159" s="21" t="str">
        <x:v>Provider/source gaps and qualifications are preserved in the canonical inventory.</x:v>
      </x:c>
      <x:c r="J159" s="21" t="str">
        <x:v>None beyond source-specific refresh and QA.</x:v>
      </x:c>
    </x:row>
    <x:row r="160" ht="64" customHeight="1">
      <x:c r="A160" s="20" t="n">
        <x:v>156</x:v>
      </x:c>
      <x:c r="B160" s="20" t="str">
        <x:v>General</x:v>
      </x:c>
      <x:c r="C160" s="20" t="str">
        <x:v>mortgage_payment_to_rent_20pct_down</x:v>
      </x:c>
      <x:c r="D160" s="20" t="str">
        <x:v>Mortgage Payment-to-Rent with 20 Percent Down</x:v>
      </x:c>
      <x:c r="E160" s="20" t="str">
        <x:v>Constructed</x:v>
      </x:c>
      <x:c r="F160" s="29" t="str">
        <x:v>Have</x:v>
      </x:c>
      <x:c r="G160" s="20" t="str">
        <x:v>See general output tables</x:v>
      </x:c>
      <x:c r="H160" s="20" t="str">
        <x:v>Represented</x:v>
      </x:c>
      <x:c r="I160" s="20" t="str">
        <x:v>Provider/source gaps and qualifications are preserved in the canonical inventory.</x:v>
      </x:c>
      <x:c r="J160" s="20" t="str">
        <x:v>None beyond source-specific refresh and QA.</x:v>
      </x:c>
    </x:row>
    <x:row r="161" ht="64" customHeight="1">
      <x:c r="A161" s="21" t="n">
        <x:v>157</x:v>
      </x:c>
      <x:c r="B161" s="21" t="str">
        <x:v>General</x:v>
      </x:c>
      <x:c r="C161" s="21" t="str">
        <x:v>market_tightness_index</x:v>
      </x:c>
      <x:c r="D161" s="21" t="str">
        <x:v>Market Tightness Index</x:v>
      </x:c>
      <x:c r="E161" s="21" t="str">
        <x:v>Constructed</x:v>
      </x:c>
      <x:c r="F161" s="29" t="str">
        <x:v>Have</x:v>
      </x:c>
      <x:c r="G161" s="21" t="str">
        <x:v>See general output tables</x:v>
      </x:c>
      <x:c r="H161" s="21" t="str">
        <x:v>Represented</x:v>
      </x:c>
      <x:c r="I161" s="21" t="str">
        <x:v>Provider/source gaps and qualifications are preserved in the canonical inventory.</x:v>
      </x:c>
      <x:c r="J161" s="21" t="str">
        <x:v>None beyond source-specific refresh and QA.</x:v>
      </x:c>
    </x:row>
    <x:row r="162" ht="64" customHeight="1">
      <x:c r="A162" s="20" t="n">
        <x:v>158</x:v>
      </x:c>
      <x:c r="B162" s="20" t="str">
        <x:v>General</x:v>
      </x:c>
      <x:c r="C162" s="20" t="str">
        <x:v>market_tightness_components</x:v>
      </x:c>
      <x:c r="D162" s="20" t="str">
        <x:v>Market Tightness Component Count</x:v>
      </x:c>
      <x:c r="E162" s="20" t="str">
        <x:v>Constructed</x:v>
      </x:c>
      <x:c r="F162" s="29" t="str">
        <x:v>Have</x:v>
      </x:c>
      <x:c r="G162" s="20" t="str">
        <x:v>See general output tables</x:v>
      </x:c>
      <x:c r="H162" s="20" t="str">
        <x:v>Represented</x:v>
      </x:c>
      <x:c r="I162" s="20" t="str">
        <x:v>Provider/source gaps and qualifications are preserved in the canonical inventory.</x:v>
      </x:c>
      <x:c r="J162" s="20" t="str">
        <x:v>None beyond source-specific refresh and QA.</x:v>
      </x:c>
    </x:row>
    <x:row r="163" ht="64" customHeight="1">
      <x:c r="A163" s="21" t="n">
        <x:v>159</x:v>
      </x:c>
      <x:c r="B163" s="21" t="str">
        <x:v>General</x:v>
      </x:c>
      <x:c r="C163" s="21" t="str">
        <x:v>ces_total_nonfarm_employment_growth_mom</x:v>
      </x:c>
      <x:c r="D163" s="21" t="str">
        <x:v>LA Metro Payroll Employment MoM Growth</x:v>
      </x:c>
      <x:c r="E163" s="21" t="str">
        <x:v>Constructed</x:v>
      </x:c>
      <x:c r="F163" s="29" t="str">
        <x:v>Have</x:v>
      </x:c>
      <x:c r="G163" s="21" t="str">
        <x:v>See general output tables</x:v>
      </x:c>
      <x:c r="H163" s="21" t="str">
        <x:v>Represented</x:v>
      </x:c>
      <x:c r="I163" s="21" t="str">
        <x:v>Provider/source gaps and qualifications are preserved in the canonical inventory.</x:v>
      </x:c>
      <x:c r="J163" s="21" t="str">
        <x:v>None beyond source-specific refresh and QA.</x:v>
      </x:c>
    </x:row>
    <x:row r="164" ht="64" customHeight="1">
      <x:c r="A164" s="20" t="n">
        <x:v>160</x:v>
      </x:c>
      <x:c r="B164" s="20" t="str">
        <x:v>General</x:v>
      </x:c>
      <x:c r="C164" s="20" t="str">
        <x:v>ces_total_nonfarm_employment_growth_yoy</x:v>
      </x:c>
      <x:c r="D164" s="20" t="str">
        <x:v>LA Metro Payroll Employment YoY Growth</x:v>
      </x:c>
      <x:c r="E164" s="20" t="str">
        <x:v>Constructed</x:v>
      </x:c>
      <x:c r="F164" s="29" t="str">
        <x:v>Have</x:v>
      </x:c>
      <x:c r="G164" s="20" t="str">
        <x:v>See general output tables</x:v>
      </x:c>
      <x:c r="H164" s="20" t="str">
        <x:v>Represented</x:v>
      </x:c>
      <x:c r="I164" s="20" t="str">
        <x:v>Provider/source gaps and qualifications are preserved in the canonical inventory.</x:v>
      </x:c>
      <x:c r="J164" s="20" t="str">
        <x:v>None beyond source-specific refresh and QA.</x:v>
      </x:c>
    </x:row>
    <x:row r="165" ht="64" customHeight="1">
      <x:c r="A165" s="21" t="n">
        <x:v>161</x:v>
      </x:c>
      <x:c r="B165" s="21" t="str">
        <x:v>General</x:v>
      </x:c>
      <x:c r="C165" s="21" t="str">
        <x:v>cpi_inflation_yoy</x:v>
      </x:c>
      <x:c r="D165" s="21" t="str">
        <x:v>LA Area CPI Inflation YoY</x:v>
      </x:c>
      <x:c r="E165" s="21" t="str">
        <x:v>Constructed</x:v>
      </x:c>
      <x:c r="F165" s="29" t="str">
        <x:v>Have</x:v>
      </x:c>
      <x:c r="G165" s="21" t="str">
        <x:v>See general output tables</x:v>
      </x:c>
      <x:c r="H165" s="21" t="str">
        <x:v>Represented</x:v>
      </x:c>
      <x:c r="I165" s="21" t="str">
        <x:v>Provider/source gaps and qualifications are preserved in the canonical inventory.</x:v>
      </x:c>
      <x:c r="J165" s="21" t="str">
        <x:v>None beyond source-specific refresh and QA.</x:v>
      </x:c>
    </x:row>
    <x:row r="166" ht="64" customHeight="1">
      <x:c r="A166" s="20" t="n">
        <x:v>162</x:v>
      </x:c>
      <x:c r="B166" s="20" t="str">
        <x:v>General</x:v>
      </x:c>
      <x:c r="C166" s="20" t="str">
        <x:v>bea_ca_personal_income_growth_qoq</x:v>
      </x:c>
      <x:c r="D166" s="20" t="str">
        <x:v>California Personal Income QoQ Growth</x:v>
      </x:c>
      <x:c r="E166" s="20" t="str">
        <x:v>Constructed</x:v>
      </x:c>
      <x:c r="F166" s="29" t="str">
        <x:v>Have</x:v>
      </x:c>
      <x:c r="G166" s="20" t="str">
        <x:v>See general output tables</x:v>
      </x:c>
      <x:c r="H166" s="20" t="str">
        <x:v>Represented</x:v>
      </x:c>
      <x:c r="I166" s="20" t="str">
        <x:v>Provider/source gaps and qualifications are preserved in the canonical inventory.</x:v>
      </x:c>
      <x:c r="J166" s="20" t="str">
        <x:v>None beyond source-specific refresh and QA.</x:v>
      </x:c>
    </x:row>
    <x:row r="167" ht="64" customHeight="1">
      <x:c r="A167" s="21" t="n">
        <x:v>163</x:v>
      </x:c>
      <x:c r="B167" s="21" t="str">
        <x:v>General</x:v>
      </x:c>
      <x:c r="C167" s="21" t="str">
        <x:v>bea_ca_personal_income_growth_yoy</x:v>
      </x:c>
      <x:c r="D167" s="21" t="str">
        <x:v>California Personal Income YoY Growth</x:v>
      </x:c>
      <x:c r="E167" s="21" t="str">
        <x:v>Constructed</x:v>
      </x:c>
      <x:c r="F167" s="29" t="str">
        <x:v>Have</x:v>
      </x:c>
      <x:c r="G167" s="21" t="str">
        <x:v>See general output tables</x:v>
      </x:c>
      <x:c r="H167" s="21" t="str">
        <x:v>Represented</x:v>
      </x:c>
      <x:c r="I167" s="21" t="str">
        <x:v>Provider/source gaps and qualifications are preserved in the canonical inventory.</x:v>
      </x:c>
      <x:c r="J167" s="21" t="str">
        <x:v>None beyond source-specific refresh and QA.</x:v>
      </x:c>
    </x:row>
    <x:row r="168" ht="64" customHeight="1">
      <x:c r="A168" s="20" t="n">
        <x:v>164</x:v>
      </x:c>
      <x:c r="B168" s="20" t="str">
        <x:v>General</x:v>
      </x:c>
      <x:c r="C168" s="20" t="str">
        <x:v>bea_personal_income_growth_yoy</x:v>
      </x:c>
      <x:c r="D168" s="20" t="str">
        <x:v>LA County Personal Income Annual Growth</x:v>
      </x:c>
      <x:c r="E168" s="20" t="str">
        <x:v>Constructed</x:v>
      </x:c>
      <x:c r="F168" s="29" t="str">
        <x:v>Have</x:v>
      </x:c>
      <x:c r="G168" s="20" t="str">
        <x:v>See general output tables</x:v>
      </x:c>
      <x:c r="H168" s="20" t="str">
        <x:v>Represented</x:v>
      </x:c>
      <x:c r="I168" s="20" t="str">
        <x:v>Provider/source gaps and qualifications are preserved in the canonical inventory.</x:v>
      </x:c>
      <x:c r="J168" s="20" t="str">
        <x:v>None beyond source-specific refresh and QA.</x:v>
      </x:c>
    </x:row>
    <x:row r="169" ht="64" customHeight="1">
      <x:c r="A169" s="21" t="n">
        <x:v>165</x:v>
      </x:c>
      <x:c r="B169" s="21" t="str">
        <x:v>General</x:v>
      </x:c>
      <x:c r="C169" s="21" t="str">
        <x:v>hvs_rental_vacancy_change_yoy_pp</x:v>
      </x:c>
      <x:c r="D169" s="21" t="str">
        <x:v>HVS Rental Vacancy YoY Change</x:v>
      </x:c>
      <x:c r="E169" s="21" t="str">
        <x:v>Constructed</x:v>
      </x:c>
      <x:c r="F169" s="29" t="str">
        <x:v>Have</x:v>
      </x:c>
      <x:c r="G169" s="21" t="str">
        <x:v>See general output tables</x:v>
      </x:c>
      <x:c r="H169" s="21" t="str">
        <x:v>Represented</x:v>
      </x:c>
      <x:c r="I169" s="21" t="str">
        <x:v>Provider/source gaps and qualifications are preserved in the canonical inventory.</x:v>
      </x:c>
      <x:c r="J169" s="21" t="str">
        <x:v>None beyond source-specific refresh and QA.</x:v>
      </x:c>
    </x:row>
    <x:row r="170" ht="64" customHeight="1">
      <x:c r="A170" s="20" t="n">
        <x:v>166</x:v>
      </x:c>
      <x:c r="B170" s="20" t="str">
        <x:v>General</x:v>
      </x:c>
      <x:c r="C170" s="20" t="str">
        <x:v>fhfa_hpi_growth_yoy</x:v>
      </x:c>
      <x:c r="D170" s="20" t="str">
        <x:v>FHFA HPI Year-over-Year Growth</x:v>
      </x:c>
      <x:c r="E170" s="20" t="str">
        <x:v>Constructed</x:v>
      </x:c>
      <x:c r="F170" s="29" t="str">
        <x:v>Have</x:v>
      </x:c>
      <x:c r="G170" s="20" t="str">
        <x:v>See general output tables</x:v>
      </x:c>
      <x:c r="H170" s="20" t="str">
        <x:v>Represented</x:v>
      </x:c>
      <x:c r="I170" s="20" t="str">
        <x:v>Provider/source gaps and qualifications are preserved in the canonical inventory.</x:v>
      </x:c>
      <x:c r="J170" s="20" t="str">
        <x:v>None beyond source-specific refresh and QA.</x:v>
      </x:c>
    </x:row>
    <x:row r="171" ht="64" customHeight="1">
      <x:c r="A171" s="21" t="n">
        <x:v>167</x:v>
      </x:c>
      <x:c r="B171" s="21" t="str">
        <x:v>General</x:v>
      </x:c>
      <x:c r="C171" s="21" t="str">
        <x:v>zhvi_growth_yoy_year_end</x:v>
      </x:c>
      <x:c r="D171" s="21" t="str">
        <x:v>ZHVI December-to-December Growth</x:v>
      </x:c>
      <x:c r="E171" s="21" t="str">
        <x:v>Constructed</x:v>
      </x:c>
      <x:c r="F171" s="29" t="str">
        <x:v>Have</x:v>
      </x:c>
      <x:c r="G171" s="21" t="str">
        <x:v>See general output tables</x:v>
      </x:c>
      <x:c r="H171" s="21" t="str">
        <x:v>Represented</x:v>
      </x:c>
      <x:c r="I171" s="21" t="str">
        <x:v>Provider/source gaps and qualifications are preserved in the canonical inventory.</x:v>
      </x:c>
      <x:c r="J171" s="21" t="str">
        <x:v>None beyond source-specific refresh and QA.</x:v>
      </x:c>
    </x:row>
    <x:row r="172" ht="64" customHeight="1">
      <x:c r="A172" s="20" t="n">
        <x:v>168</x:v>
      </x:c>
      <x:c r="B172" s="20" t="str">
        <x:v>General</x:v>
      </x:c>
      <x:c r="C172" s="20" t="str">
        <x:v>fhfa_vs_zhvi_growth_gap_yoy</x:v>
      </x:c>
      <x:c r="D172" s="20" t="str">
        <x:v>FHFA-versus-Zillow Annual Growth Gap</x:v>
      </x:c>
      <x:c r="E172" s="20" t="str">
        <x:v>Constructed</x:v>
      </x:c>
      <x:c r="F172" s="29" t="str">
        <x:v>Have</x:v>
      </x:c>
      <x:c r="G172" s="20" t="str">
        <x:v>See general output tables</x:v>
      </x:c>
      <x:c r="H172" s="20" t="str">
        <x:v>Represented</x:v>
      </x:c>
      <x:c r="I172" s="20" t="str">
        <x:v>Provider/source gaps and qualifications are preserved in the canonical inventory.</x:v>
      </x:c>
      <x:c r="J172" s="20" t="str">
        <x:v>None beyond source-specific refresh and QA.</x:v>
      </x:c>
    </x:row>
    <x:row r="173" ht="64" customHeight="1">
      <x:c r="A173" s="21" t="n">
        <x:v>169</x:v>
      </x:c>
      <x:c r="B173" s="21" t="str">
        <x:v>General</x:v>
      </x:c>
      <x:c r="C173" s="21" t="str">
        <x:v>usps_total_residential_addresses</x:v>
      </x:c>
      <x:c r="D173" s="21" t="str">
        <x:v>USPS total residential addresses</x:v>
      </x:c>
      <x:c r="E173" s="21" t="str">
        <x:v>HUD-USPS</x:v>
      </x:c>
      <x:c r="F173" s="29" t="str">
        <x:v>Have</x:v>
      </x:c>
      <x:c r="G173" s="21" t="str">
        <x:v>See general output tables</x:v>
      </x:c>
      <x:c r="H173" s="21" t="str">
        <x:v>Represented</x:v>
      </x:c>
      <x:c r="I173" s="21" t="str">
        <x:v>Provider/source gaps and qualifications are preserved in the canonical inventory.</x:v>
      </x:c>
      <x:c r="J173" s="21" t="str">
        <x:v>None beyond source-specific refresh and QA.</x:v>
      </x:c>
    </x:row>
    <x:row r="174" ht="64" customHeight="1">
      <x:c r="A174" s="20" t="n">
        <x:v>170</x:v>
      </x:c>
      <x:c r="B174" s="20" t="str">
        <x:v>General</x:v>
      </x:c>
      <x:c r="C174" s="20" t="str">
        <x:v>usps_short_term_vacant_residential_addresses</x:v>
      </x:c>
      <x:c r="D174" s="20" t="str">
        <x:v>USPS short-term vacant residential addresses</x:v>
      </x:c>
      <x:c r="E174" s="20" t="str">
        <x:v>HUD-USPS</x:v>
      </x:c>
      <x:c r="F174" s="29" t="str">
        <x:v>Have</x:v>
      </x:c>
      <x:c r="G174" s="20" t="str">
        <x:v>See general output tables</x:v>
      </x:c>
      <x:c r="H174" s="20" t="str">
        <x:v>Represented</x:v>
      </x:c>
      <x:c r="I174" s="20" t="str">
        <x:v>Provider/source gaps and qualifications are preserved in the canonical inventory.</x:v>
      </x:c>
      <x:c r="J174" s="20" t="str">
        <x:v>None beyond source-specific refresh and QA.</x:v>
      </x:c>
    </x:row>
    <x:row r="175" ht="64" customHeight="1">
      <x:c r="A175" s="21" t="n">
        <x:v>171</x:v>
      </x:c>
      <x:c r="B175" s="21" t="str">
        <x:v>General</x:v>
      </x:c>
      <x:c r="C175" s="21" t="str">
        <x:v>usps_long_term_vacant_residential_addresses</x:v>
      </x:c>
      <x:c r="D175" s="21" t="str">
        <x:v>USPS long-term vacant residential addresses</x:v>
      </x:c>
      <x:c r="E175" s="21" t="str">
        <x:v>HUD-USPS</x:v>
      </x:c>
      <x:c r="F175" s="29" t="str">
        <x:v>Have</x:v>
      </x:c>
      <x:c r="G175" s="21" t="str">
        <x:v>See general output tables</x:v>
      </x:c>
      <x:c r="H175" s="21" t="str">
        <x:v>Represented</x:v>
      </x:c>
      <x:c r="I175" s="21" t="str">
        <x:v>Provider/source gaps and qualifications are preserved in the canonical inventory.</x:v>
      </x:c>
      <x:c r="J175" s="21" t="str">
        <x:v>None beyond source-specific refresh and QA.</x:v>
      </x:c>
    </x:row>
    <x:row r="176" ht="64" customHeight="1">
      <x:c r="A176" s="20" t="n">
        <x:v>172</x:v>
      </x:c>
      <x:c r="B176" s="20" t="str">
        <x:v>General</x:v>
      </x:c>
      <x:c r="C176" s="20" t="str">
        <x:v>usps_vacant_residential_addresses</x:v>
      </x:c>
      <x:c r="D176" s="20" t="str">
        <x:v>USPS vacant residential addresses proxy numerator</x:v>
      </x:c>
      <x:c r="E176" s="20" t="str">
        <x:v>Constructed from HUD-USPS</x:v>
      </x:c>
      <x:c r="F176" s="29" t="str">
        <x:v>Have</x:v>
      </x:c>
      <x:c r="G176" s="20" t="str">
        <x:v>See general output tables</x:v>
      </x:c>
      <x:c r="H176" s="20" t="str">
        <x:v>Represented</x:v>
      </x:c>
      <x:c r="I176" s="20" t="str">
        <x:v>Provider/source gaps and qualifications are preserved in the canonical inventory.</x:v>
      </x:c>
      <x:c r="J176" s="20" t="str">
        <x:v>None beyond source-specific refresh and QA.</x:v>
      </x:c>
    </x:row>
    <x:row r="177" ht="64" customHeight="1">
      <x:c r="A177" s="21" t="n">
        <x:v>173</x:v>
      </x:c>
      <x:c r="B177" s="21" t="str">
        <x:v>General</x:v>
      </x:c>
      <x:c r="C177" s="21" t="str">
        <x:v>usps_no_stat_residential_addresses</x:v>
      </x:c>
      <x:c r="D177" s="21" t="str">
        <x:v>USPS no-stat residential addresses</x:v>
      </x:c>
      <x:c r="E177" s="21" t="str">
        <x:v>HUD-USPS</x:v>
      </x:c>
      <x:c r="F177" s="29" t="str">
        <x:v>Have</x:v>
      </x:c>
      <x:c r="G177" s="21" t="str">
        <x:v>See general output tables</x:v>
      </x:c>
      <x:c r="H177" s="21" t="str">
        <x:v>Represented</x:v>
      </x:c>
      <x:c r="I177" s="21" t="str">
        <x:v>Provider/source gaps and qualifications are preserved in the canonical inventory.</x:v>
      </x:c>
      <x:c r="J177" s="21" t="str">
        <x:v>None beyond source-specific refresh and QA.</x:v>
      </x:c>
    </x:row>
    <x:row r="178" ht="64" customHeight="1">
      <x:c r="A178" s="20" t="n">
        <x:v>174</x:v>
      </x:c>
      <x:c r="B178" s="20" t="str">
        <x:v>General</x:v>
      </x:c>
      <x:c r="C178" s="20" t="str">
        <x:v>usps_active_residential_addresses</x:v>
      </x:c>
      <x:c r="D178" s="20" t="str">
        <x:v>USPS active residential addresses</x:v>
      </x:c>
      <x:c r="E178" s="20" t="str">
        <x:v>HUD-USPS</x:v>
      </x:c>
      <x:c r="F178" s="29" t="str">
        <x:v>Have</x:v>
      </x:c>
      <x:c r="G178" s="20" t="str">
        <x:v>See general output tables</x:v>
      </x:c>
      <x:c r="H178" s="20" t="str">
        <x:v>Represented</x:v>
      </x:c>
      <x:c r="I178" s="20" t="str">
        <x:v>Provider/source gaps and qualifications are preserved in the canonical inventory.</x:v>
      </x:c>
      <x:c r="J178" s="20" t="str">
        <x:v>None beyond source-specific refresh and QA.</x:v>
      </x:c>
    </x:row>
    <x:row r="179" ht="64" customHeight="1">
      <x:c r="A179" s="21" t="n">
        <x:v>175</x:v>
      </x:c>
      <x:c r="B179" s="21" t="str">
        <x:v>General</x:v>
      </x:c>
      <x:c r="C179" s="21" t="str">
        <x:v>usps_residential_vacancy_rate</x:v>
      </x:c>
      <x:c r="D179" s="21" t="str">
        <x:v>USPS residential vacancy rate proxy</x:v>
      </x:c>
      <x:c r="E179" s="21" t="str">
        <x:v>Constructed from HUD-USPS</x:v>
      </x:c>
      <x:c r="F179" s="29" t="str">
        <x:v>Have</x:v>
      </x:c>
      <x:c r="G179" s="21" t="str">
        <x:v>See general output tables</x:v>
      </x:c>
      <x:c r="H179" s="21" t="str">
        <x:v>Represented</x:v>
      </x:c>
      <x:c r="I179" s="21" t="str">
        <x:v>Provider/source gaps and qualifications are preserved in the canonical inventory.</x:v>
      </x:c>
      <x:c r="J179" s="21" t="str">
        <x:v>None beyond source-specific refresh and QA.</x:v>
      </x:c>
    </x:row>
    <x:row r="180" ht="64" customHeight="1">
      <x:c r="A180" s="20" t="n">
        <x:v>176</x:v>
      </x:c>
      <x:c r="B180" s="20" t="str">
        <x:v>General</x:v>
      </x:c>
      <x:c r="C180" s="20" t="str">
        <x:v>usps_residential_no_stat_rate</x:v>
      </x:c>
      <x:c r="D180" s="20" t="str">
        <x:v>USPS residential no-stat rate</x:v>
      </x:c>
      <x:c r="E180" s="20" t="str">
        <x:v>Constructed from HUD-USPS</x:v>
      </x:c>
      <x:c r="F180" s="29" t="str">
        <x:v>Have</x:v>
      </x:c>
      <x:c r="G180" s="20" t="str">
        <x:v>See general output tables</x:v>
      </x:c>
      <x:c r="H180" s="20" t="str">
        <x:v>Represented</x:v>
      </x:c>
      <x:c r="I180" s="20" t="str">
        <x:v>Provider/source gaps and qualifications are preserved in the canonical inventory.</x:v>
      </x:c>
      <x:c r="J180" s="20" t="str">
        <x:v>None beyond source-specific refresh and QA.</x:v>
      </x:c>
    </x:row>
    <x:row r="181" ht="64" customHeight="1">
      <x:c r="A181" s="21" t="n">
        <x:v>177</x:v>
      </x:c>
      <x:c r="B181" s="21" t="str">
        <x:v>General</x:v>
      </x:c>
      <x:c r="C181" s="21" t="str">
        <x:v>ca_homeowners_written_premium</x:v>
      </x:c>
      <x:c r="D181" s="21" t="str">
        <x:v>California Homeowners Multi-Peril written premium</x:v>
      </x:c>
      <x:c r="E181" s="21" t="str">
        <x:v>California Department of Insurance</x:v>
      </x:c>
      <x:c r="F181" s="29" t="str">
        <x:v>Have</x:v>
      </x:c>
      <x:c r="G181" s="21" t="str">
        <x:v>See general output tables</x:v>
      </x:c>
      <x:c r="H181" s="21" t="str">
        <x:v>Represented</x:v>
      </x:c>
      <x:c r="I181" s="21" t="str">
        <x:v>Provider/source gaps and qualifications are preserved in the canonical inventory.</x:v>
      </x:c>
      <x:c r="J181" s="21" t="str">
        <x:v>None beyond source-specific refresh and QA.</x:v>
      </x:c>
    </x:row>
    <x:row r="182" ht="64" customHeight="1">
      <x:c r="A182" s="20" t="n">
        <x:v>178</x:v>
      </x:c>
      <x:c r="B182" s="20" t="str">
        <x:v>General</x:v>
      </x:c>
      <x:c r="C182" s="20" t="str">
        <x:v>hud_pit_overall_homeless_annual</x:v>
      </x:c>
      <x:c r="D182" s="20" t="str">
        <x:v>HUD PIT overall homelessness</x:v>
      </x:c>
      <x:c r="E182" s="20" t="str">
        <x:v>U.S. Department of Housing and Urban Development</x:v>
      </x:c>
      <x:c r="F182" s="29" t="str">
        <x:v>Have</x:v>
      </x:c>
      <x:c r="G182" s="20" t="str">
        <x:v>See general output tables</x:v>
      </x:c>
      <x:c r="H182" s="20" t="str">
        <x:v>Represented</x:v>
      </x:c>
      <x:c r="I182" s="20" t="str">
        <x:v>Provider/source gaps and qualifications are preserved in the canonical inventory.</x:v>
      </x:c>
      <x:c r="J182" s="20" t="str">
        <x:v>None beyond source-specific refresh and QA.</x:v>
      </x:c>
    </x:row>
    <x:row r="183" ht="64" customHeight="1">
      <x:c r="A183" s="21" t="n">
        <x:v>179</x:v>
      </x:c>
      <x:c r="B183" s="21" t="str">
        <x:v>General</x:v>
      </x:c>
      <x:c r="C183" s="21" t="str">
        <x:v>hud_pit_sheltered_homeless_annual</x:v>
      </x:c>
      <x:c r="D183" s="21" t="str">
        <x:v>HUD PIT sheltered homelessness</x:v>
      </x:c>
      <x:c r="E183" s="21" t="str">
        <x:v>U.S. Department of Housing and Urban Development</x:v>
      </x:c>
      <x:c r="F183" s="29" t="str">
        <x:v>Have</x:v>
      </x:c>
      <x:c r="G183" s="21" t="str">
        <x:v>See general output tables</x:v>
      </x:c>
      <x:c r="H183" s="21" t="str">
        <x:v>Represented</x:v>
      </x:c>
      <x:c r="I183" s="21" t="str">
        <x:v>Provider/source gaps and qualifications are preserved in the canonical inventory.</x:v>
      </x:c>
      <x:c r="J183" s="21" t="str">
        <x:v>None beyond source-specific refresh and QA.</x:v>
      </x:c>
    </x:row>
    <x:row r="184" ht="64" customHeight="1">
      <x:c r="A184" s="20" t="n">
        <x:v>180</x:v>
      </x:c>
      <x:c r="B184" s="20" t="str">
        <x:v>General</x:v>
      </x:c>
      <x:c r="C184" s="20" t="str">
        <x:v>hud_pit_unsheltered_homeless_annual</x:v>
      </x:c>
      <x:c r="D184" s="20" t="str">
        <x:v>HUD PIT unsheltered homelessness</x:v>
      </x:c>
      <x:c r="E184" s="20" t="str">
        <x:v>U.S. Department of Housing and Urban Development</x:v>
      </x:c>
      <x:c r="F184" s="29" t="str">
        <x:v>Have</x:v>
      </x:c>
      <x:c r="G184" s="20" t="str">
        <x:v>See general output tables</x:v>
      </x:c>
      <x:c r="H184" s="20" t="str">
        <x:v>Represented</x:v>
      </x:c>
      <x:c r="I184" s="20" t="str">
        <x:v>Provider/source gaps and qualifications are preserved in the canonical inventory.</x:v>
      </x:c>
      <x:c r="J184" s="20" t="str">
        <x:v>None beyond source-specific refresh and QA.</x:v>
      </x:c>
    </x:row>
    <x:row r="185" ht="64" customHeight="1">
      <x:c r="A185" s="21" t="n">
        <x:v>181</x:v>
      </x:c>
      <x:c r="B185" s="21" t="str">
        <x:v>General</x:v>
      </x:c>
      <x:c r="C185" s="21" t="str">
        <x:v>ca_homeowners_written_exposures</x:v>
      </x:c>
      <x:c r="D185" s="21" t="str">
        <x:v>California Homeowners Multi-Peril written exposures</x:v>
      </x:c>
      <x:c r="E185" s="21" t="str">
        <x:v>California Department of Insurance</x:v>
      </x:c>
      <x:c r="F185" s="29" t="str">
        <x:v>Have</x:v>
      </x:c>
      <x:c r="G185" s="21" t="str">
        <x:v>See general output tables</x:v>
      </x:c>
      <x:c r="H185" s="21" t="str">
        <x:v>Represented</x:v>
      </x:c>
      <x:c r="I185" s="21" t="str">
        <x:v>Provider/source gaps and qualifications are preserved in the canonical inventory.</x:v>
      </x:c>
      <x:c r="J185" s="21" t="str">
        <x:v>None beyond source-specific refresh and QA.</x:v>
      </x:c>
    </x:row>
    <x:row r="186" ht="64" customHeight="1">
      <x:c r="A186" s="20" t="n">
        <x:v>182</x:v>
      </x:c>
      <x:c r="B186" s="20" t="str">
        <x:v>General</x:v>
      </x:c>
      <x:c r="C186" s="20" t="str">
        <x:v>ca_homeowners_avg_written_premium</x:v>
      </x:c>
      <x:c r="D186" s="20" t="str">
        <x:v>California average written homeowners premium</x:v>
      </x:c>
      <x:c r="E186" s="20" t="str">
        <x:v>California Department of Insurance</x:v>
      </x:c>
      <x:c r="F186" s="29" t="str">
        <x:v>Have</x:v>
      </x:c>
      <x:c r="G186" s="20" t="str">
        <x:v>See general output tables</x:v>
      </x:c>
      <x:c r="H186" s="20" t="str">
        <x:v>Represented</x:v>
      </x:c>
      <x:c r="I186" s="20" t="str">
        <x:v>Provider/source gaps and qualifications are preserved in the canonical inventory.</x:v>
      </x:c>
      <x:c r="J186" s="20" t="str">
        <x:v>None beyond source-specific refresh and QA.</x:v>
      </x:c>
    </x:row>
    <x:row r="187" ht="64" customHeight="1">
      <x:c r="A187" s="21" t="n">
        <x:v>183</x:v>
      </x:c>
      <x:c r="B187" s="21" t="str">
        <x:v>General</x:v>
      </x:c>
      <x:c r="C187" s="21" t="str">
        <x:v>ca_homeowners_avg_written_premium_yoy</x:v>
      </x:c>
      <x:c r="D187" s="21" t="str">
        <x:v>California average written homeowners premium year-over-year change</x:v>
      </x:c>
      <x:c r="E187" s="21" t="str">
        <x:v>Constructed from California Department of Insurance</x:v>
      </x:c>
      <x:c r="F187" s="29" t="str">
        <x:v>Have</x:v>
      </x:c>
      <x:c r="G187" s="21" t="str">
        <x:v>See general output tables</x:v>
      </x:c>
      <x:c r="H187" s="21" t="str">
        <x:v>Represented</x:v>
      </x:c>
      <x:c r="I187" s="21" t="str">
        <x:v>Provider/source gaps and qualifications are preserved in the canonical inventory.</x:v>
      </x:c>
      <x:c r="J187" s="21" t="str">
        <x:v>None beyond source-specific refresh and QA.</x:v>
      </x:c>
    </x:row>
    <x:row r="188" ht="64" customHeight="1">
      <x:c r="A188" s="20" t="n">
        <x:v>184</x:v>
      </x:c>
      <x:c r="B188" s="20" t="str">
        <x:v>General</x:v>
      </x:c>
      <x:c r="C188" s="20" t="str">
        <x:v>ca_homeowners_avg_written_premium_monthly_control</x:v>
      </x:c>
      <x:c r="D188" s="20" t="str">
        <x:v>California average written homeowners premium monthly control</x:v>
      </x:c>
      <x:c r="E188" s="20" t="str">
        <x:v>Constructed from California Department of Insurance</x:v>
      </x:c>
      <x:c r="F188" s="29" t="str">
        <x:v>Have</x:v>
      </x:c>
      <x:c r="G188" s="20" t="str">
        <x:v>See general output tables</x:v>
      </x:c>
      <x:c r="H188" s="20" t="str">
        <x:v>Represented</x:v>
      </x:c>
      <x:c r="I188" s="20" t="str">
        <x:v>Provider/source gaps and qualifications are preserved in the canonical inventory.</x:v>
      </x:c>
      <x:c r="J188" s="20" t="str">
        <x:v>None beyond source-specific refresh and QA.</x:v>
      </x:c>
    </x:row>
    <x:row r="189" ht="64" customHeight="1">
      <x:c r="A189" s="21" t="n">
        <x:v>185</x:v>
      </x:c>
      <x:c r="B189" s="21" t="str">
        <x:v>Version A</x:v>
      </x:c>
      <x:c r="C189" s="21" t="str">
        <x:v>acs_total_population_benchmark</x:v>
      </x:c>
      <x:c r="D189" s="21" t="str">
        <x:v>ACS total population benchmark</x:v>
      </x:c>
      <x:c r="E189" s="21" t="str">
        <x:v>U.S. Census Bureau</x:v>
      </x:c>
      <x:c r="F189" s="29" t="str">
        <x:v>Have</x:v>
      </x:c>
      <x:c r="G189" s="21" t="n">
        <x:v>1</x:v>
      </x:c>
      <x:c r="H189" s="21" t="n">
        <x:v>1</x:v>
      </x:c>
      <x:c r="I189" s="21" t="str">
        <x:v>None in the current Version A output.</x:v>
      </x:c>
      <x:c r="J189" s="21" t="str">
        <x:v>None beyond the source-specific refresh workflow.</x:v>
      </x:c>
    </x:row>
    <x:row r="190" ht="64" customHeight="1">
      <x:c r="A190" s="20" t="n">
        <x:v>186</x:v>
      </x:c>
      <x:c r="B190" s="20" t="str">
        <x:v>Version A</x:v>
      </x:c>
      <x:c r="C190" s="20" t="str">
        <x:v>acs_aggregate_selected_monthly_owner_costs_mortgaged_benchmark</x:v>
      </x:c>
      <x:c r="D190" s="20" t="str">
        <x:v>ACS aggregate selected monthly owner costs - mortgaged owners benchmark</x:v>
      </x:c>
      <x:c r="E190" s="20" t="str">
        <x:v>U.S. Census Bureau</x:v>
      </x:c>
      <x:c r="F190" s="29" t="str">
        <x:v>Have</x:v>
      </x:c>
      <x:c r="G190" s="20" t="n">
        <x:v>1</x:v>
      </x:c>
      <x:c r="H190" s="20" t="n">
        <x:v>1</x:v>
      </x:c>
      <x:c r="I190" s="20" t="str">
        <x:v>None in the current Version A output.</x:v>
      </x:c>
      <x:c r="J190" s="20" t="str">
        <x:v>None beyond the source-specific refresh workflow.</x:v>
      </x:c>
    </x:row>
    <x:row r="191" ht="64" customHeight="1">
      <x:c r="A191" s="21" t="n">
        <x:v>187</x:v>
      </x:c>
      <x:c r="B191" s="21" t="str">
        <x:v>Version A</x:v>
      </x:c>
      <x:c r="C191" s="21" t="str">
        <x:v>acs_owner_occupied_units_benchmark</x:v>
      </x:c>
      <x:c r="D191" s="21" t="str">
        <x:v>ACS owner-occupied units benchmark</x:v>
      </x:c>
      <x:c r="E191" s="21" t="str">
        <x:v>U.S. Census Bureau</x:v>
      </x:c>
      <x:c r="F191" s="29" t="str">
        <x:v>Have</x:v>
      </x:c>
      <x:c r="G191" s="21" t="n">
        <x:v>1</x:v>
      </x:c>
      <x:c r="H191" s="21" t="n">
        <x:v>1</x:v>
      </x:c>
      <x:c r="I191" s="21" t="str">
        <x:v>None in the current Version A output.</x:v>
      </x:c>
      <x:c r="J191" s="21" t="str">
        <x:v>None beyond the source-specific refresh workflow.</x:v>
      </x:c>
    </x:row>
    <x:row r="192" ht="64" customHeight="1">
      <x:c r="A192" s="20" t="n">
        <x:v>188</x:v>
      </x:c>
      <x:c r="B192" s="20" t="str">
        <x:v>Version A</x:v>
      </x:c>
      <x:c r="C192" s="20" t="str">
        <x:v>acs_mortgaged_owner_units_benchmark</x:v>
      </x:c>
      <x:c r="D192" s="20" t="str">
        <x:v>ACS mortgaged owner units benchmark</x:v>
      </x:c>
      <x:c r="E192" s="20" t="str">
        <x:v>U.S. Census Bureau</x:v>
      </x:c>
      <x:c r="F192" s="29" t="str">
        <x:v>Have</x:v>
      </x:c>
      <x:c r="G192" s="20" t="n">
        <x:v>1</x:v>
      </x:c>
      <x:c r="H192" s="20" t="n">
        <x:v>1</x:v>
      </x:c>
      <x:c r="I192" s="20" t="str">
        <x:v>None in the current Version A output.</x:v>
      </x:c>
      <x:c r="J192" s="20" t="str">
        <x:v>None beyond the source-specific refresh workflow.</x:v>
      </x:c>
    </x:row>
    <x:row r="193" ht="64" customHeight="1">
      <x:c r="A193" s="21" t="n">
        <x:v>189</x:v>
      </x:c>
      <x:c r="B193" s="21" t="str">
        <x:v>Version A</x:v>
      </x:c>
      <x:c r="C193" s="21" t="str">
        <x:v>acs_aggregate_owner_value_all_benchmark</x:v>
      </x:c>
      <x:c r="D193" s="21" t="str">
        <x:v>ACS aggregate owner value - all owners benchmark</x:v>
      </x:c>
      <x:c r="E193" s="21" t="str">
        <x:v>U.S. Census Bureau</x:v>
      </x:c>
      <x:c r="F193" s="29" t="str">
        <x:v>Have</x:v>
      </x:c>
      <x:c r="G193" s="21" t="n">
        <x:v>1</x:v>
      </x:c>
      <x:c r="H193" s="21" t="n">
        <x:v>1</x:v>
      </x:c>
      <x:c r="I193" s="21" t="str">
        <x:v>None in the current Version A output.</x:v>
      </x:c>
      <x:c r="J193" s="21" t="str">
        <x:v>None beyond the source-specific refresh workflow.</x:v>
      </x:c>
    </x:row>
    <x:row r="194" ht="64" customHeight="1">
      <x:c r="A194" s="20" t="n">
        <x:v>190</x:v>
      </x:c>
      <x:c r="B194" s="20" t="str">
        <x:v>Version A</x:v>
      </x:c>
      <x:c r="C194" s="20" t="str">
        <x:v>acs_aggregate_owner_value_mortgaged_benchmark</x:v>
      </x:c>
      <x:c r="D194" s="20" t="str">
        <x:v>ACS aggregate owner value - mortgaged owners benchmark</x:v>
      </x:c>
      <x:c r="E194" s="20" t="str">
        <x:v>U.S. Census Bureau</x:v>
      </x:c>
      <x:c r="F194" s="29" t="str">
        <x:v>Have</x:v>
      </x:c>
      <x:c r="G194" s="20" t="n">
        <x:v>1</x:v>
      </x:c>
      <x:c r="H194" s="20" t="n">
        <x:v>1</x:v>
      </x:c>
      <x:c r="I194" s="20" t="str">
        <x:v>None in the current Version A output.</x:v>
      </x:c>
      <x:c r="J194" s="20" t="str">
        <x:v>None beyond the source-specific refresh workflow.</x:v>
      </x:c>
    </x:row>
    <x:row r="195" ht="64" customHeight="1">
      <x:c r="A195" s="21" t="n">
        <x:v>191</x:v>
      </x:c>
      <x:c r="B195" s="21" t="str">
        <x:v>Version A</x:v>
      </x:c>
      <x:c r="C195" s="21" t="str">
        <x:v>acs_aggregate_owner_value_no_mortgage_benchmark</x:v>
      </x:c>
      <x:c r="D195" s="21" t="str">
        <x:v>ACS aggregate owner value - mortgage-free owners benchmark</x:v>
      </x:c>
      <x:c r="E195" s="21" t="str">
        <x:v>U.S. Census Bureau</x:v>
      </x:c>
      <x:c r="F195" s="29" t="str">
        <x:v>Have</x:v>
      </x:c>
      <x:c r="G195" s="21" t="n">
        <x:v>1</x:v>
      </x:c>
      <x:c r="H195" s="21" t="n">
        <x:v>1</x:v>
      </x:c>
      <x:c r="I195" s="21" t="str">
        <x:v>None in the current Version A output.</x:v>
      </x:c>
      <x:c r="J195" s="21" t="str">
        <x:v>None beyond the source-specific refresh workflow.</x:v>
      </x:c>
    </x:row>
    <x:row r="196" ht="64" customHeight="1">
      <x:c r="A196" s="20" t="n">
        <x:v>192</x:v>
      </x:c>
      <x:c r="B196" s="20" t="str">
        <x:v>Version A</x:v>
      </x:c>
      <x:c r="C196" s="20" t="str">
        <x:v>acs_aggregate_household_income_owner_benchmark</x:v>
      </x:c>
      <x:c r="D196" s="20" t="str">
        <x:v>ACS aggregate household income - all owners benchmark</x:v>
      </x:c>
      <x:c r="E196" s="20" t="str">
        <x:v>U.S. Census Bureau</x:v>
      </x:c>
      <x:c r="F196" s="29" t="str">
        <x:v>Have</x:v>
      </x:c>
      <x:c r="G196" s="20" t="n">
        <x:v>1</x:v>
      </x:c>
      <x:c r="H196" s="20" t="n">
        <x:v>1</x:v>
      </x:c>
      <x:c r="I196" s="20" t="str">
        <x:v>None in the current Version A output.</x:v>
      </x:c>
      <x:c r="J196" s="20" t="str">
        <x:v>None beyond the source-specific refresh workflow.</x:v>
      </x:c>
    </x:row>
    <x:row r="197" ht="64" customHeight="1">
      <x:c r="A197" s="21" t="n">
        <x:v>193</x:v>
      </x:c>
      <x:c r="B197" s="21" t="str">
        <x:v>Version A</x:v>
      </x:c>
      <x:c r="C197" s="21" t="str">
        <x:v>acs_aggregate_household_income_mortgaged_owner_benchmark</x:v>
      </x:c>
      <x:c r="D197" s="21" t="str">
        <x:v>ACS aggregate household income - mortgaged owners benchmark</x:v>
      </x:c>
      <x:c r="E197" s="21" t="str">
        <x:v>U.S. Census Bureau</x:v>
      </x:c>
      <x:c r="F197" s="29" t="str">
        <x:v>Have</x:v>
      </x:c>
      <x:c r="G197" s="21" t="n">
        <x:v>1</x:v>
      </x:c>
      <x:c r="H197" s="21" t="n">
        <x:v>1</x:v>
      </x:c>
      <x:c r="I197" s="21" t="str">
        <x:v>None in the current Version A output.</x:v>
      </x:c>
      <x:c r="J197" s="21" t="str">
        <x:v>None beyond the source-specific refresh workflow.</x:v>
      </x:c>
    </x:row>
    <x:row r="198" ht="64" customHeight="1">
      <x:c r="A198" s="20" t="n">
        <x:v>194</x:v>
      </x:c>
      <x:c r="B198" s="20" t="str">
        <x:v>Version A</x:v>
      </x:c>
      <x:c r="C198" s="20" t="str">
        <x:v>acs_aggregate_household_income_no_mortgage_owner_benchmark</x:v>
      </x:c>
      <x:c r="D198" s="20" t="str">
        <x:v>ACS aggregate household income - mortgage-free owners benchmark</x:v>
      </x:c>
      <x:c r="E198" s="20" t="str">
        <x:v>U.S. Census Bureau</x:v>
      </x:c>
      <x:c r="F198" s="29" t="str">
        <x:v>Have</x:v>
      </x:c>
      <x:c r="G198" s="20" t="n">
        <x:v>1</x:v>
      </x:c>
      <x:c r="H198" s="20" t="n">
        <x:v>1</x:v>
      </x:c>
      <x:c r="I198" s="20" t="str">
        <x:v>None in the current Version A output.</x:v>
      </x:c>
      <x:c r="J198" s="20" t="str">
        <x:v>None beyond the source-specific refresh workflow.</x:v>
      </x:c>
    </x:row>
    <x:row r="199" ht="64" customHeight="1">
      <x:c r="A199" s="21" t="n">
        <x:v>195</x:v>
      </x:c>
      <x:c r="B199" s="21" t="str">
        <x:v>Version A</x:v>
      </x:c>
      <x:c r="C199" s="21" t="str">
        <x:v>pums_first_mortgage_pi_share_benchmark</x:v>
      </x:c>
      <x:c r="D199" s="21" t="str">
        <x:v>PUMS first-mortgage P&amp;I share source benchmark</x:v>
      </x:c>
      <x:c r="E199" s="21" t="str">
        <x:v>U.S. Census Bureau</x:v>
      </x:c>
      <x:c r="F199" s="29" t="str">
        <x:v>Have</x:v>
      </x:c>
      <x:c r="G199" s="21" t="n">
        <x:v>1</x:v>
      </x:c>
      <x:c r="H199" s="21" t="n">
        <x:v>1</x:v>
      </x:c>
      <x:c r="I199" s="21" t="str">
        <x:v>None in the current Version A output.</x:v>
      </x:c>
      <x:c r="J199" s="21" t="str">
        <x:v>None beyond the source-specific refresh workflow.</x:v>
      </x:c>
    </x:row>
    <x:row r="200" ht="64" customHeight="1">
      <x:c r="A200" s="20" t="n">
        <x:v>196</x:v>
      </x:c>
      <x:c r="B200" s="20" t="str">
        <x:v>Version A</x:v>
      </x:c>
      <x:c r="C200" s="20" t="str">
        <x:v>pums_first_mortgage_pi_share_applied_benchmark</x:v>
      </x:c>
      <x:c r="D200" s="20" t="str">
        <x:v>Applied PUMS first-mortgage P&amp;I share benchmark</x:v>
      </x:c>
      <x:c r="E200" s="20" t="str">
        <x:v>U.S. Census Bureau</x:v>
      </x:c>
      <x:c r="F200" s="29" t="str">
        <x:v>Have</x:v>
      </x:c>
      <x:c r="G200" s="20" t="n">
        <x:v>1</x:v>
      </x:c>
      <x:c r="H200" s="20" t="n">
        <x:v>1</x:v>
      </x:c>
      <x:c r="I200" s="20" t="str">
        <x:v>None in the current Version A output.</x:v>
      </x:c>
      <x:c r="J200" s="20" t="str">
        <x:v>None beyond the source-specific refresh workflow.</x:v>
      </x:c>
    </x:row>
    <x:row r="201" ht="64" customHeight="1">
      <x:c r="A201" s="21" t="n">
        <x:v>197</x:v>
      </x:c>
      <x:c r="B201" s="21" t="str">
        <x:v>Version A</x:v>
      </x:c>
      <x:c r="C201" s="21" t="str">
        <x:v>pums_junior_lien_payment_per_mortgaged_unit_benchmark</x:v>
      </x:c>
      <x:c r="D201" s="21" t="str">
        <x:v>PUMS junior-lien monthly payment per mortgaged unit benchmark</x:v>
      </x:c>
      <x:c r="E201" s="21" t="str">
        <x:v>U.S. Census Bureau</x:v>
      </x:c>
      <x:c r="F201" s="29" t="str">
        <x:v>Have</x:v>
      </x:c>
      <x:c r="G201" s="21" t="n">
        <x:v>1</x:v>
      </x:c>
      <x:c r="H201" s="21" t="n">
        <x:v>1</x:v>
      </x:c>
      <x:c r="I201" s="21" t="str">
        <x:v>None in the current Version A output.</x:v>
      </x:c>
      <x:c r="J201" s="21" t="str">
        <x:v>None beyond the source-specific refresh workflow.</x:v>
      </x:c>
    </x:row>
    <x:row r="202" ht="64" customHeight="1">
      <x:c r="A202" s="20" t="n">
        <x:v>198</x:v>
      </x:c>
      <x:c r="B202" s="20" t="str">
        <x:v>Version A</x:v>
      </x:c>
      <x:c r="C202" s="20" t="str">
        <x:v>acs_estimated_aggregate_monthly_first_mortgage_pi_benchmark</x:v>
      </x:c>
      <x:c r="D202" s="20" t="str">
        <x:v>Estimated aggregate monthly first-mortgage P&amp;I benchmark</x:v>
      </x:c>
      <x:c r="E202" s="20" t="str">
        <x:v>U.S. Census Bureau</x:v>
      </x:c>
      <x:c r="F202" s="29" t="str">
        <x:v>Have</x:v>
      </x:c>
      <x:c r="G202" s="20" t="n">
        <x:v>1</x:v>
      </x:c>
      <x:c r="H202" s="20" t="n">
        <x:v>1</x:v>
      </x:c>
      <x:c r="I202" s="20" t="str">
        <x:v>None in the current Version A output.</x:v>
      </x:c>
      <x:c r="J202" s="20" t="str">
        <x:v>None beyond the source-specific refresh workflow.</x:v>
      </x:c>
    </x:row>
    <x:row r="203" ht="64" customHeight="1">
      <x:c r="A203" s="21" t="n">
        <x:v>199</x:v>
      </x:c>
      <x:c r="B203" s="21" t="str">
        <x:v>Version A</x:v>
      </x:c>
      <x:c r="C203" s="21" t="str">
        <x:v>acs_first_mortgage_pi_per_mortgaged_unit_benchmark</x:v>
      </x:c>
      <x:c r="D203" s="21" t="str">
        <x:v>First-mortgage P&amp;I per mortgaged unit benchmark</x:v>
      </x:c>
      <x:c r="E203" s="21" t="str">
        <x:v>U.S. Census Bureau</x:v>
      </x:c>
      <x:c r="F203" s="29" t="str">
        <x:v>Have</x:v>
      </x:c>
      <x:c r="G203" s="21" t="n">
        <x:v>1</x:v>
      </x:c>
      <x:c r="H203" s="21" t="n">
        <x:v>1</x:v>
      </x:c>
      <x:c r="I203" s="21" t="str">
        <x:v>None in the current Version A output.</x:v>
      </x:c>
      <x:c r="J203" s="21" t="str">
        <x:v>None beyond the source-specific refresh workflow.</x:v>
      </x:c>
    </x:row>
    <x:row r="204" ht="64" customHeight="1">
      <x:c r="A204" s="20" t="n">
        <x:v>200</x:v>
      </x:c>
      <x:c r="B204" s="20" t="str">
        <x:v>Version A</x:v>
      </x:c>
      <x:c r="C204" s="20" t="str">
        <x:v>acs_annual_first_mortgage_debt_service_benchmark</x:v>
      </x:c>
      <x:c r="D204" s="20" t="str">
        <x:v>Annual first-mortgage debt service benchmark</x:v>
      </x:c>
      <x:c r="E204" s="20" t="str">
        <x:v>U.S. Census Bureau</x:v>
      </x:c>
      <x:c r="F204" s="29" t="str">
        <x:v>Have</x:v>
      </x:c>
      <x:c r="G204" s="20" t="n">
        <x:v>1</x:v>
      </x:c>
      <x:c r="H204" s="20" t="n">
        <x:v>1</x:v>
      </x:c>
      <x:c r="I204" s="20" t="str">
        <x:v>None in the current Version A output.</x:v>
      </x:c>
      <x:c r="J204" s="20" t="str">
        <x:v>None beyond the source-specific refresh workflow.</x:v>
      </x:c>
    </x:row>
    <x:row r="205" ht="64" customHeight="1">
      <x:c r="A205" s="21" t="n">
        <x:v>201</x:v>
      </x:c>
      <x:c r="B205" s="21" t="str">
        <x:v>Version A</x:v>
      </x:c>
      <x:c r="C205" s="21" t="str">
        <x:v>acs_mortgage_debt_service_to_income_benchmark</x:v>
      </x:c>
      <x:c r="D205" s="21" t="str">
        <x:v>Mortgage debt-service-to-income benchmark</x:v>
      </x:c>
      <x:c r="E205" s="21" t="str">
        <x:v>U.S. Census Bureau</x:v>
      </x:c>
      <x:c r="F205" s="29" t="str">
        <x:v>Have</x:v>
      </x:c>
      <x:c r="G205" s="21" t="n">
        <x:v>1</x:v>
      </x:c>
      <x:c r="H205" s="21" t="n">
        <x:v>1</x:v>
      </x:c>
      <x:c r="I205" s="21" t="str">
        <x:v>None in the current Version A output.</x:v>
      </x:c>
      <x:c r="J205" s="21" t="str">
        <x:v>None beyond the source-specific refresh workflow.</x:v>
      </x:c>
    </x:row>
    <x:row r="206" ht="64" customHeight="1">
      <x:c r="A206" s="20" t="n">
        <x:v>202</x:v>
      </x:c>
      <x:c r="B206" s="20" t="str">
        <x:v>Version A</x:v>
      </x:c>
      <x:c r="C206" s="20" t="str">
        <x:v>acs_implied_first_mortgage_balance_raw_benchmark</x:v>
      </x:c>
      <x:c r="D206" s="20" t="str">
        <x:v>Raw implied first-mortgage balance benchmark</x:v>
      </x:c>
      <x:c r="E206" s="20" t="str">
        <x:v>U.S. Census Bureau/FHFA/Freddie Mac</x:v>
      </x:c>
      <x:c r="F206" s="29" t="str">
        <x:v>Have</x:v>
      </x:c>
      <x:c r="G206" s="20" t="n">
        <x:v>1</x:v>
      </x:c>
      <x:c r="H206" s="20" t="n">
        <x:v>1</x:v>
      </x:c>
      <x:c r="I206" s="20" t="str">
        <x:v>None in the current Version A output.</x:v>
      </x:c>
      <x:c r="J206" s="20" t="str">
        <x:v>None beyond the source-specific refresh workflow.</x:v>
      </x:c>
    </x:row>
    <x:row r="207" ht="64" customHeight="1">
      <x:c r="A207" s="21" t="n">
        <x:v>203</x:v>
      </x:c>
      <x:c r="B207" s="21" t="str">
        <x:v>Version A</x:v>
      </x:c>
      <x:c r="C207" s="21" t="str">
        <x:v>acs_implied_first_mortgage_balance_raw_pmms_20y_sensitivity_benchmark</x:v>
      </x:c>
      <x:c r="D207" s="21" t="str">
        <x:v>Raw implied first-mortgage balance PMMS 20-year sensitivity benchmark</x:v>
      </x:c>
      <x:c r="E207" s="21" t="str">
        <x:v>U.S. Census Bureau/Freddie Mac</x:v>
      </x:c>
      <x:c r="F207" s="29" t="str">
        <x:v>Have</x:v>
      </x:c>
      <x:c r="G207" s="21" t="n">
        <x:v>1</x:v>
      </x:c>
      <x:c r="H207" s="21" t="n">
        <x:v>1</x:v>
      </x:c>
      <x:c r="I207" s="21" t="str">
        <x:v>None in the current Version A output.</x:v>
      </x:c>
      <x:c r="J207" s="21" t="str">
        <x:v>None beyond the source-specific refresh workflow.</x:v>
      </x:c>
    </x:row>
    <x:row r="208" ht="64" customHeight="1">
      <x:c r="A208" s="20" t="n">
        <x:v>204</x:v>
      </x:c>
      <x:c r="B208" s="20" t="str">
        <x:v>Version A</x:v>
      </x:c>
      <x:c r="C208" s="20" t="str">
        <x:v>acs_implied_first_mortgage_balance_raw_pmms_25y_sensitivity_benchmark</x:v>
      </x:c>
      <x:c r="D208" s="20" t="str">
        <x:v>Raw implied first-mortgage balance PMMS 25-year sensitivity benchmark</x:v>
      </x:c>
      <x:c r="E208" s="20" t="str">
        <x:v>U.S. Census Bureau/Freddie Mac</x:v>
      </x:c>
      <x:c r="F208" s="29" t="str">
        <x:v>Have</x:v>
      </x:c>
      <x:c r="G208" s="20" t="n">
        <x:v>1</x:v>
      </x:c>
      <x:c r="H208" s="20" t="n">
        <x:v>1</x:v>
      </x:c>
      <x:c r="I208" s="20" t="str">
        <x:v>None in the current Version A output.</x:v>
      </x:c>
      <x:c r="J208" s="20" t="str">
        <x:v>None beyond the source-specific refresh workflow.</x:v>
      </x:c>
    </x:row>
    <x:row r="209" ht="64" customHeight="1">
      <x:c r="A209" s="21" t="n">
        <x:v>205</x:v>
      </x:c>
      <x:c r="B209" s="21" t="str">
        <x:v>Version A</x:v>
      </x:c>
      <x:c r="C209" s="21" t="str">
        <x:v>acs_implied_first_mortgage_balance_raw_pmms_30y_sensitivity_benchmark</x:v>
      </x:c>
      <x:c r="D209" s="21" t="str">
        <x:v>Raw implied first-mortgage balance PMMS 30-year sensitivity benchmark</x:v>
      </x:c>
      <x:c r="E209" s="21" t="str">
        <x:v>U.S. Census Bureau/Freddie Mac</x:v>
      </x:c>
      <x:c r="F209" s="29" t="str">
        <x:v>Have</x:v>
      </x:c>
      <x:c r="G209" s="21" t="n">
        <x:v>1</x:v>
      </x:c>
      <x:c r="H209" s="21" t="n">
        <x:v>1</x:v>
      </x:c>
      <x:c r="I209" s="21" t="str">
        <x:v>None in the current Version A output.</x:v>
      </x:c>
      <x:c r="J209" s="21" t="str">
        <x:v>None beyond the source-specific refresh workflow.</x:v>
      </x:c>
    </x:row>
    <x:row r="210" ht="64" customHeight="1">
      <x:c r="A210" s="20" t="n">
        <x:v>206</x:v>
      </x:c>
      <x:c r="B210" s="20" t="str">
        <x:v>Version A</x:v>
      </x:c>
      <x:c r="C210" s="20" t="str">
        <x:v>acs_implied_owner_occupied_home_equity_mortgaged_pmms_20y_scenario_benchmark</x:v>
      </x:c>
      <x:c r="D210" s="20" t="str">
        <x:v>Mortgaged-owner home equity PMMS 20-year scenario benchmark</x:v>
      </x:c>
      <x:c r="E210" s="20" t="str">
        <x:v>U.S. Census Bureau/Freddie Mac</x:v>
      </x:c>
      <x:c r="F210" s="29" t="str">
        <x:v>Have</x:v>
      </x:c>
      <x:c r="G210" s="20" t="n">
        <x:v>1</x:v>
      </x:c>
      <x:c r="H210" s="20" t="n">
        <x:v>1</x:v>
      </x:c>
      <x:c r="I210" s="20" t="str">
        <x:v>None in the current Version A output.</x:v>
      </x:c>
      <x:c r="J210" s="20" t="str">
        <x:v>None beyond the source-specific refresh workflow.</x:v>
      </x:c>
    </x:row>
    <x:row r="211" ht="64" customHeight="1">
      <x:c r="A211" s="21" t="n">
        <x:v>207</x:v>
      </x:c>
      <x:c r="B211" s="21" t="str">
        <x:v>Version A</x:v>
      </x:c>
      <x:c r="C211" s="21" t="str">
        <x:v>acs_implied_owner_occupied_home_equity_all_pmms_20y_scenario_benchmark</x:v>
      </x:c>
      <x:c r="D211" s="21" t="str">
        <x:v>All-owner home equity PMMS 20-year scenario benchmark</x:v>
      </x:c>
      <x:c r="E211" s="21" t="str">
        <x:v>U.S. Census Bureau/Freddie Mac</x:v>
      </x:c>
      <x:c r="F211" s="29" t="str">
        <x:v>Have</x:v>
      </x:c>
      <x:c r="G211" s="21" t="n">
        <x:v>1</x:v>
      </x:c>
      <x:c r="H211" s="21" t="n">
        <x:v>1</x:v>
      </x:c>
      <x:c r="I211" s="21" t="str">
        <x:v>None in the current Version A output.</x:v>
      </x:c>
      <x:c r="J211" s="21" t="str">
        <x:v>None beyond the source-specific refresh workflow.</x:v>
      </x:c>
    </x:row>
    <x:row r="212" ht="64" customHeight="1">
      <x:c r="A212" s="20" t="n">
        <x:v>208</x:v>
      </x:c>
      <x:c r="B212" s="20" t="str">
        <x:v>Version A</x:v>
      </x:c>
      <x:c r="C212" s="20" t="str">
        <x:v>acs_implied_owner_occupied_home_equity_mortgaged_pmms_25y_scenario_benchmark</x:v>
      </x:c>
      <x:c r="D212" s="20" t="str">
        <x:v>Mortgaged-owner home equity PMMS 25-year scenario benchmark</x:v>
      </x:c>
      <x:c r="E212" s="20" t="str">
        <x:v>U.S. Census Bureau/Freddie Mac</x:v>
      </x:c>
      <x:c r="F212" s="29" t="str">
        <x:v>Have</x:v>
      </x:c>
      <x:c r="G212" s="20" t="n">
        <x:v>1</x:v>
      </x:c>
      <x:c r="H212" s="20" t="n">
        <x:v>1</x:v>
      </x:c>
      <x:c r="I212" s="20" t="str">
        <x:v>None in the current Version A output.</x:v>
      </x:c>
      <x:c r="J212" s="20" t="str">
        <x:v>None beyond the source-specific refresh workflow.</x:v>
      </x:c>
    </x:row>
    <x:row r="213" ht="64" customHeight="1">
      <x:c r="A213" s="21" t="n">
        <x:v>209</x:v>
      </x:c>
      <x:c r="B213" s="21" t="str">
        <x:v>Version A</x:v>
      </x:c>
      <x:c r="C213" s="21" t="str">
        <x:v>acs_implied_owner_occupied_home_equity_all_pmms_25y_scenario_benchmark</x:v>
      </x:c>
      <x:c r="D213" s="21" t="str">
        <x:v>All-owner home equity PMMS 25-year scenario benchmark</x:v>
      </x:c>
      <x:c r="E213" s="21" t="str">
        <x:v>U.S. Census Bureau/Freddie Mac</x:v>
      </x:c>
      <x:c r="F213" s="29" t="str">
        <x:v>Have</x:v>
      </x:c>
      <x:c r="G213" s="21" t="n">
        <x:v>1</x:v>
      </x:c>
      <x:c r="H213" s="21" t="n">
        <x:v>1</x:v>
      </x:c>
      <x:c r="I213" s="21" t="str">
        <x:v>None in the current Version A output.</x:v>
      </x:c>
      <x:c r="J213" s="21" t="str">
        <x:v>None beyond the source-specific refresh workflow.</x:v>
      </x:c>
    </x:row>
    <x:row r="214" ht="64" customHeight="1">
      <x:c r="A214" s="20" t="n">
        <x:v>210</x:v>
      </x:c>
      <x:c r="B214" s="20" t="str">
        <x:v>Version A</x:v>
      </x:c>
      <x:c r="C214" s="20" t="str">
        <x:v>acs_implied_owner_occupied_home_equity_mortgaged_pmms_30y_scenario_benchmark</x:v>
      </x:c>
      <x:c r="D214" s="20" t="str">
        <x:v>Mortgaged-owner home equity PMMS 30-year scenario benchmark</x:v>
      </x:c>
      <x:c r="E214" s="20" t="str">
        <x:v>U.S. Census Bureau/Freddie Mac</x:v>
      </x:c>
      <x:c r="F214" s="29" t="str">
        <x:v>Have</x:v>
      </x:c>
      <x:c r="G214" s="20" t="n">
        <x:v>1</x:v>
      </x:c>
      <x:c r="H214" s="20" t="n">
        <x:v>1</x:v>
      </x:c>
      <x:c r="I214" s="20" t="str">
        <x:v>None in the current Version A output.</x:v>
      </x:c>
      <x:c r="J214" s="20" t="str">
        <x:v>None beyond the source-specific refresh workflow.</x:v>
      </x:c>
    </x:row>
    <x:row r="215" ht="64" customHeight="1">
      <x:c r="A215" s="21" t="n">
        <x:v>211</x:v>
      </x:c>
      <x:c r="B215" s="21" t="str">
        <x:v>Version A</x:v>
      </x:c>
      <x:c r="C215" s="21" t="str">
        <x:v>acs_implied_owner_occupied_home_equity_all_pmms_30y_scenario_benchmark</x:v>
      </x:c>
      <x:c r="D215" s="21" t="str">
        <x:v>All-owner home equity PMMS 30-year scenario benchmark</x:v>
      </x:c>
      <x:c r="E215" s="21" t="str">
        <x:v>U.S. Census Bureau/Freddie Mac</x:v>
      </x:c>
      <x:c r="F215" s="29" t="str">
        <x:v>Have</x:v>
      </x:c>
      <x:c r="G215" s="21" t="n">
        <x:v>1</x:v>
      </x:c>
      <x:c r="H215" s="21" t="n">
        <x:v>1</x:v>
      </x:c>
      <x:c r="I215" s="21" t="str">
        <x:v>None in the current Version A output.</x:v>
      </x:c>
      <x:c r="J215" s="21" t="str">
        <x:v>None beyond the source-specific refresh workflow.</x:v>
      </x:c>
    </x:row>
    <x:row r="216" ht="64" customHeight="1">
      <x:c r="A216" s="20" t="n">
        <x:v>212</x:v>
      </x:c>
      <x:c r="B216" s="20" t="str">
        <x:v>Version A</x:v>
      </x:c>
      <x:c r="C216" s="20" t="str">
        <x:v>acs_implied_first_mortgage_balance_cal_benchmark</x:v>
      </x:c>
      <x:c r="D216" s="20" t="str">
        <x:v>California-calibrated implied first-mortgage balance benchmark</x:v>
      </x:c>
      <x:c r="E216" s="20" t="str">
        <x:v>U.S. Census Bureau/FHFA</x:v>
      </x:c>
      <x:c r="F216" s="33" t="str">
        <x:v>Schema only</x:v>
      </x:c>
      <x:c r="G216" s="20" t="n">
        <x:v>1</x:v>
      </x:c>
      <x:c r="H216" s="20" t="n">
        <x:v>0</x:v>
      </x:c>
      <x:c r="I216" s="20" t="str">
        <x:v>All 58 county rows are null because the compatible California owner-occupied first-lien UPB calibration control/method is unresolved.</x:v>
      </x:c>
      <x:c r="J216" s="20" t="str">
        <x:v>Obtain a compatible official control or approve a documented compatible-universe calibration rule; no ordinary API key resolves this.</x:v>
      </x:c>
    </x:row>
    <x:row r="217" ht="64" customHeight="1">
      <x:c r="A217" s="21" t="n">
        <x:v>213</x:v>
      </x:c>
      <x:c r="B217" s="21" t="str">
        <x:v>Version A</x:v>
      </x:c>
      <x:c r="C217" s="21" t="str">
        <x:v>acs_first_mortgage_debt_per_mortgaged_owner_unit_benchmark</x:v>
      </x:c>
      <x:c r="D217" s="21" t="str">
        <x:v>First-mortgage debt per mortgaged owner unit benchmark</x:v>
      </x:c>
      <x:c r="E217" s="21" t="str">
        <x:v>U.S. Census Bureau/FHFA</x:v>
      </x:c>
      <x:c r="F217" s="33" t="str">
        <x:v>Schema only</x:v>
      </x:c>
      <x:c r="G217" s="21" t="n">
        <x:v>1</x:v>
      </x:c>
      <x:c r="H217" s="21" t="n">
        <x:v>0</x:v>
      </x:c>
      <x:c r="I217" s="21" t="str">
        <x:v>All 58 county rows are null because the compatible California owner-occupied first-lien UPB calibration control/method is unresolved.</x:v>
      </x:c>
      <x:c r="J217" s="21" t="str">
        <x:v>Obtain a compatible official control or approve a documented compatible-universe calibration rule; no ordinary API key resolves this.</x:v>
      </x:c>
    </x:row>
    <x:row r="218" ht="64" customHeight="1">
      <x:c r="A218" s="20" t="n">
        <x:v>214</x:v>
      </x:c>
      <x:c r="B218" s="20" t="str">
        <x:v>Version A</x:v>
      </x:c>
      <x:c r="C218" s="20" t="str">
        <x:v>acs_first_mortgage_debt_per_owner_unit_benchmark</x:v>
      </x:c>
      <x:c r="D218" s="20" t="str">
        <x:v>First-mortgage debt per owner unit benchmark</x:v>
      </x:c>
      <x:c r="E218" s="20" t="str">
        <x:v>U.S. Census Bureau/FHFA</x:v>
      </x:c>
      <x:c r="F218" s="33" t="str">
        <x:v>Schema only</x:v>
      </x:c>
      <x:c r="G218" s="20" t="n">
        <x:v>1</x:v>
      </x:c>
      <x:c r="H218" s="20" t="n">
        <x:v>0</x:v>
      </x:c>
      <x:c r="I218" s="20" t="str">
        <x:v>All 58 county rows are null because the compatible California owner-occupied first-lien UPB calibration control/method is unresolved.</x:v>
      </x:c>
      <x:c r="J218" s="20" t="str">
        <x:v>Obtain a compatible official control or approve a documented compatible-universe calibration rule; no ordinary API key resolves this.</x:v>
      </x:c>
    </x:row>
    <x:row r="219" ht="64" customHeight="1">
      <x:c r="A219" s="21" t="n">
        <x:v>215</x:v>
      </x:c>
      <x:c r="B219" s="21" t="str">
        <x:v>Version A</x:v>
      </x:c>
      <x:c r="C219" s="21" t="str">
        <x:v>acs_first_mortgage_debt_per_capita_benchmark</x:v>
      </x:c>
      <x:c r="D219" s="21" t="str">
        <x:v>First-mortgage debt per capita benchmark</x:v>
      </x:c>
      <x:c r="E219" s="21" t="str">
        <x:v>U.S. Census Bureau/FHFA</x:v>
      </x:c>
      <x:c r="F219" s="33" t="str">
        <x:v>Schema only</x:v>
      </x:c>
      <x:c r="G219" s="21" t="n">
        <x:v>1</x:v>
      </x:c>
      <x:c r="H219" s="21" t="n">
        <x:v>0</x:v>
      </x:c>
      <x:c r="I219" s="21" t="str">
        <x:v>All 58 county rows are null because the compatible California owner-occupied first-lien UPB calibration control/method is unresolved.</x:v>
      </x:c>
      <x:c r="J219" s="21" t="str">
        <x:v>Obtain a compatible official control or approve a documented compatible-universe calibration rule; no ordinary API key resolves this.</x:v>
      </x:c>
    </x:row>
    <x:row r="220" ht="64" customHeight="1">
      <x:c r="A220" s="20" t="n">
        <x:v>216</x:v>
      </x:c>
      <x:c r="B220" s="20" t="str">
        <x:v>Version A</x:v>
      </x:c>
      <x:c r="C220" s="20" t="str">
        <x:v>acs_first_mortgage_debt_to_owner_income_benchmark</x:v>
      </x:c>
      <x:c r="D220" s="20" t="str">
        <x:v>First-mortgage debt to owner income benchmark</x:v>
      </x:c>
      <x:c r="E220" s="20" t="str">
        <x:v>U.S. Census Bureau/FHFA</x:v>
      </x:c>
      <x:c r="F220" s="33" t="str">
        <x:v>Schema only</x:v>
      </x:c>
      <x:c r="G220" s="20" t="n">
        <x:v>1</x:v>
      </x:c>
      <x:c r="H220" s="20" t="n">
        <x:v>0</x:v>
      </x:c>
      <x:c r="I220" s="20" t="str">
        <x:v>All 58 county rows are null because the compatible California owner-occupied first-lien UPB calibration control/method is unresolved.</x:v>
      </x:c>
      <x:c r="J220" s="20" t="str">
        <x:v>Obtain a compatible official control or approve a documented compatible-universe calibration rule; no ordinary API key resolves this.</x:v>
      </x:c>
    </x:row>
    <x:row r="221" ht="64" customHeight="1">
      <x:c r="A221" s="21" t="n">
        <x:v>217</x:v>
      </x:c>
      <x:c r="B221" s="21" t="str">
        <x:v>Version A</x:v>
      </x:c>
      <x:c r="C221" s="21" t="str">
        <x:v>acs_implied_owner_occupied_home_equity_mortgaged_benchmark</x:v>
      </x:c>
      <x:c r="D221" s="21" t="str">
        <x:v>Implied mortgaged-owner home equity benchmark</x:v>
      </x:c>
      <x:c r="E221" s="21" t="str">
        <x:v>U.S. Census Bureau/FHFA</x:v>
      </x:c>
      <x:c r="F221" s="33" t="str">
        <x:v>Schema only</x:v>
      </x:c>
      <x:c r="G221" s="21" t="n">
        <x:v>1</x:v>
      </x:c>
      <x:c r="H221" s="21" t="n">
        <x:v>0</x:v>
      </x:c>
      <x:c r="I221" s="21" t="str">
        <x:v>All 58 county rows are null because the compatible California owner-occupied first-lien UPB calibration control/method is unresolved.</x:v>
      </x:c>
      <x:c r="J221" s="21" t="str">
        <x:v>Obtain a compatible official control or approve a documented compatible-universe calibration rule; no ordinary API key resolves this.</x:v>
      </x:c>
    </x:row>
    <x:row r="222" ht="64" customHeight="1">
      <x:c r="A222" s="20" t="n">
        <x:v>218</x:v>
      </x:c>
      <x:c r="B222" s="20" t="str">
        <x:v>Version A</x:v>
      </x:c>
      <x:c r="C222" s="20" t="str">
        <x:v>acs_implied_owner_occupied_home_equity_all_benchmark</x:v>
      </x:c>
      <x:c r="D222" s="20" t="str">
        <x:v>Implied all-owner home equity benchmark</x:v>
      </x:c>
      <x:c r="E222" s="20" t="str">
        <x:v>U.S. Census Bureau/FHFA</x:v>
      </x:c>
      <x:c r="F222" s="33" t="str">
        <x:v>Schema only</x:v>
      </x:c>
      <x:c r="G222" s="20" t="n">
        <x:v>1</x:v>
      </x:c>
      <x:c r="H222" s="20" t="n">
        <x:v>0</x:v>
      </x:c>
      <x:c r="I222" s="20" t="str">
        <x:v>All 58 county rows are null because the compatible California owner-occupied first-lien UPB calibration control/method is unresolved.</x:v>
      </x:c>
      <x:c r="J222" s="20" t="str">
        <x:v>Obtain a compatible official control or approve a documented compatible-universe calibration rule; no ordinary API key resolves this.</x:v>
      </x:c>
    </x:row>
    <x:row r="223" ht="64" customHeight="1">
      <x:c r="A223" s="21" t="n">
        <x:v>219</x:v>
      </x:c>
      <x:c r="B223" s="21" t="str">
        <x:v>Version A</x:v>
      </x:c>
      <x:c r="C223" s="21" t="str">
        <x:v>acs_implied_owner_occupied_home_equity_per_owner_unit_benchmark</x:v>
      </x:c>
      <x:c r="D223" s="21" t="str">
        <x:v>Implied home equity per owner unit benchmark</x:v>
      </x:c>
      <x:c r="E223" s="21" t="str">
        <x:v>U.S. Census Bureau/FHFA</x:v>
      </x:c>
      <x:c r="F223" s="33" t="str">
        <x:v>Schema only</x:v>
      </x:c>
      <x:c r="G223" s="21" t="n">
        <x:v>1</x:v>
      </x:c>
      <x:c r="H223" s="21" t="n">
        <x:v>0</x:v>
      </x:c>
      <x:c r="I223" s="21" t="str">
        <x:v>All 58 county rows are null because the compatible California owner-occupied first-lien UPB calibration control/method is unresolved.</x:v>
      </x:c>
      <x:c r="J223" s="21" t="str">
        <x:v>Obtain a compatible official control or approve a documented compatible-universe calibration rule; no ordinary API key resolves this.</x:v>
      </x:c>
    </x:row>
    <x:row r="224" ht="64" customHeight="1">
      <x:c r="A224" s="20" t="n">
        <x:v>220</x:v>
      </x:c>
      <x:c r="B224" s="20" t="str">
        <x:v>Version A</x:v>
      </x:c>
      <x:c r="C224" s="20" t="str">
        <x:v>acs_implied_owner_occupied_home_equity_mortgaged_real_2024_benchmark</x:v>
      </x:c>
      <x:c r="D224" s="20" t="str">
        <x:v>Implied mortgaged-owner home equity in constant 2024 dollars benchmark</x:v>
      </x:c>
      <x:c r="E224" s="20" t="str">
        <x:v>U.S. Census Bureau/FHFA/U.S. Bureau of Labor Statistics</x:v>
      </x:c>
      <x:c r="F224" s="33" t="str">
        <x:v>Schema only</x:v>
      </x:c>
      <x:c r="G224" s="20" t="n">
        <x:v>1</x:v>
      </x:c>
      <x:c r="H224" s="20" t="n">
        <x:v>0</x:v>
      </x:c>
      <x:c r="I224" s="20" t="str">
        <x:v>All 58 county rows are null because the compatible California owner-occupied first-lien UPB calibration control/method is unresolved.</x:v>
      </x:c>
      <x:c r="J224" s="20" t="str">
        <x:v>Obtain a compatible official control or approve a documented compatible-universe calibration rule; no ordinary API key resolves this.</x:v>
      </x:c>
    </x:row>
    <x:row r="225" ht="64" customHeight="1">
      <x:c r="A225" s="21" t="n">
        <x:v>221</x:v>
      </x:c>
      <x:c r="B225" s="21" t="str">
        <x:v>Version A</x:v>
      </x:c>
      <x:c r="C225" s="21" t="str">
        <x:v>acs_implied_owner_occupied_home_equity_all_real_2024_benchmark</x:v>
      </x:c>
      <x:c r="D225" s="21" t="str">
        <x:v>Implied all-owner home equity in constant 2024 dollars benchmark</x:v>
      </x:c>
      <x:c r="E225" s="21" t="str">
        <x:v>U.S. Census Bureau/FHFA/U.S. Bureau of Labor Statistics</x:v>
      </x:c>
      <x:c r="F225" s="33" t="str">
        <x:v>Schema only</x:v>
      </x:c>
      <x:c r="G225" s="21" t="n">
        <x:v>1</x:v>
      </x:c>
      <x:c r="H225" s="21" t="n">
        <x:v>0</x:v>
      </x:c>
      <x:c r="I225" s="21" t="str">
        <x:v>All 58 county rows are null because the compatible California owner-occupied first-lien UPB calibration control/method is unresolved.</x:v>
      </x:c>
      <x:c r="J225" s="21" t="str">
        <x:v>Obtain a compatible official control or approve a documented compatible-universe calibration rule; no ordinary API key resolves this.</x:v>
      </x:c>
    </x:row>
    <x:row r="226" ht="64" customHeight="1">
      <x:c r="A226" s="20" t="n">
        <x:v>222</x:v>
      </x:c>
      <x:c r="B226" s="20" t="str">
        <x:v>Version A</x:v>
      </x:c>
      <x:c r="C226" s="20" t="str">
        <x:v>acs_aggregate_ltv_mortgaged_benchmark</x:v>
      </x:c>
      <x:c r="D226" s="20" t="str">
        <x:v>Aggregate mortgaged-owner LTV benchmark</x:v>
      </x:c>
      <x:c r="E226" s="20" t="str">
        <x:v>U.S. Census Bureau/FHFA</x:v>
      </x:c>
      <x:c r="F226" s="33" t="str">
        <x:v>Schema only</x:v>
      </x:c>
      <x:c r="G226" s="20" t="n">
        <x:v>1</x:v>
      </x:c>
      <x:c r="H226" s="20" t="n">
        <x:v>0</x:v>
      </x:c>
      <x:c r="I226" s="20" t="str">
        <x:v>All 58 county rows are null because the compatible California owner-occupied first-lien UPB calibration control/method is unresolved.</x:v>
      </x:c>
      <x:c r="J226" s="20" t="str">
        <x:v>Obtain a compatible official control or approve a documented compatible-universe calibration rule; no ordinary API key resolves this.</x:v>
      </x:c>
    </x:row>
    <x:row r="227" ht="64" customHeight="1">
      <x:c r="A227" s="21" t="n">
        <x:v>223</x:v>
      </x:c>
      <x:c r="B227" s="21" t="str">
        <x:v>Version A</x:v>
      </x:c>
      <x:c r="C227" s="21" t="str">
        <x:v>acs_equity_rate_mortgaged_benchmark</x:v>
      </x:c>
      <x:c r="D227" s="21" t="str">
        <x:v>Mortgaged-owner equity rate benchmark</x:v>
      </x:c>
      <x:c r="E227" s="21" t="str">
        <x:v>U.S. Census Bureau/FHFA</x:v>
      </x:c>
      <x:c r="F227" s="33" t="str">
        <x:v>Schema only</x:v>
      </x:c>
      <x:c r="G227" s="21" t="n">
        <x:v>1</x:v>
      </x:c>
      <x:c r="H227" s="21" t="n">
        <x:v>0</x:v>
      </x:c>
      <x:c r="I227" s="21" t="str">
        <x:v>All 58 county rows are null because the compatible California owner-occupied first-lien UPB calibration control/method is unresolved.</x:v>
      </x:c>
      <x:c r="J227" s="21" t="str">
        <x:v>Obtain a compatible official control or approve a documented compatible-universe calibration rule; no ordinary API key resolves this.</x:v>
      </x:c>
    </x:row>
    <x:row r="228" ht="64" customHeight="1">
      <x:c r="A228" s="20" t="n">
        <x:v>224</x:v>
      </x:c>
      <x:c r="B228" s="20" t="str">
        <x:v>Version A</x:v>
      </x:c>
      <x:c r="C228" s="20" t="str">
        <x:v>hmda_median_downpayment_rate_benchmark</x:v>
      </x:c>
      <x:c r="D228" s="20" t="str">
        <x:v>HMDA median down-payment rate benchmark</x:v>
      </x:c>
      <x:c r="E228" s="20" t="str">
        <x:v>CFPB and FFIEC</x:v>
      </x:c>
      <x:c r="F228" s="29" t="str">
        <x:v>Have</x:v>
      </x:c>
      <x:c r="G228" s="20" t="n">
        <x:v>1</x:v>
      </x:c>
      <x:c r="H228" s="20" t="n">
        <x:v>1</x:v>
      </x:c>
      <x:c r="I228" s="20" t="str">
        <x:v>None in the current Version A output.</x:v>
      </x:c>
      <x:c r="J228" s="20" t="str">
        <x:v>None beyond the source-specific refresh workflow.</x:v>
      </x:c>
    </x:row>
    <x:row r="229" ht="64" customHeight="1">
      <x:c r="A229" s="21" t="n">
        <x:v>225</x:v>
      </x:c>
      <x:c r="B229" s="21" t="str">
        <x:v>Version A</x:v>
      </x:c>
      <x:c r="C229" s="21" t="str">
        <x:v>hmda_property_value_weighted_downpayment_rate_benchmark</x:v>
      </x:c>
      <x:c r="D229" s="21" t="str">
        <x:v>HMDA property-value-weighted down-payment rate benchmark</x:v>
      </x:c>
      <x:c r="E229" s="21" t="str">
        <x:v>CFPB and FFIEC</x:v>
      </x:c>
      <x:c r="F229" s="29" t="str">
        <x:v>Have</x:v>
      </x:c>
      <x:c r="G229" s="21" t="n">
        <x:v>1</x:v>
      </x:c>
      <x:c r="H229" s="21" t="n">
        <x:v>1</x:v>
      </x:c>
      <x:c r="I229" s="21" t="str">
        <x:v>None in the current Version A output.</x:v>
      </x:c>
      <x:c r="J229" s="21" t="str">
        <x:v>None beyond the source-specific refresh workflow.</x:v>
      </x:c>
    </x:row>
    <x:row r="230" ht="64" customHeight="1">
      <x:c r="A230" s="20" t="n">
        <x:v>226</x:v>
      </x:c>
      <x:c r="B230" s="20" t="str">
        <x:v>Version A</x:v>
      </x:c>
      <x:c r="C230" s="20" t="str">
        <x:v>hmda_aggregate_downpayment_flow_benchmark</x:v>
      </x:c>
      <x:c r="D230" s="20" t="str">
        <x:v>HMDA aggregate down-payment flow benchmark</x:v>
      </x:c>
      <x:c r="E230" s="20" t="str">
        <x:v>CFPB and FFIEC</x:v>
      </x:c>
      <x:c r="F230" s="29" t="str">
        <x:v>Have</x:v>
      </x:c>
      <x:c r="G230" s="20" t="n">
        <x:v>1</x:v>
      </x:c>
      <x:c r="H230" s="20" t="n">
        <x:v>1</x:v>
      </x:c>
      <x:c r="I230" s="20" t="str">
        <x:v>None in the current Version A output.</x:v>
      </x:c>
      <x:c r="J230" s="20" t="str">
        <x:v>None beyond the source-specific refresh workflow.</x:v>
      </x:c>
    </x:row>
    <x:row r="231" ht="64" customHeight="1">
      <x:c r="A231" s="21" t="n">
        <x:v>227</x:v>
      </x:c>
      <x:c r="B231" s="21" t="str">
        <x:v>Version A</x:v>
      </x:c>
      <x:c r="C231" s="21" t="str">
        <x:v>hmda_share_downpayment_below_3pct_benchmark</x:v>
      </x:c>
      <x:c r="D231" s="21" t="str">
        <x:v>HMDA share below 3% down benchmark</x:v>
      </x:c>
      <x:c r="E231" s="21" t="str">
        <x:v>CFPB and FFIEC</x:v>
      </x:c>
      <x:c r="F231" s="29" t="str">
        <x:v>Have</x:v>
      </x:c>
      <x:c r="G231" s="21" t="n">
        <x:v>1</x:v>
      </x:c>
      <x:c r="H231" s="21" t="n">
        <x:v>1</x:v>
      </x:c>
      <x:c r="I231" s="21" t="str">
        <x:v>None in the current Version A output.</x:v>
      </x:c>
      <x:c r="J231" s="21" t="str">
        <x:v>None beyond the source-specific refresh workflow.</x:v>
      </x:c>
    </x:row>
    <x:row r="232" ht="64" customHeight="1">
      <x:c r="A232" s="20" t="n">
        <x:v>228</x:v>
      </x:c>
      <x:c r="B232" s="20" t="str">
        <x:v>Version A</x:v>
      </x:c>
      <x:c r="C232" s="20" t="str">
        <x:v>hmda_share_downpayment_below_5pct_benchmark</x:v>
      </x:c>
      <x:c r="D232" s="20" t="str">
        <x:v>HMDA share below 5% down benchmark</x:v>
      </x:c>
      <x:c r="E232" s="20" t="str">
        <x:v>CFPB and FFIEC</x:v>
      </x:c>
      <x:c r="F232" s="29" t="str">
        <x:v>Have</x:v>
      </x:c>
      <x:c r="G232" s="20" t="n">
        <x:v>1</x:v>
      </x:c>
      <x:c r="H232" s="20" t="n">
        <x:v>1</x:v>
      </x:c>
      <x:c r="I232" s="20" t="str">
        <x:v>None in the current Version A output.</x:v>
      </x:c>
      <x:c r="J232" s="20" t="str">
        <x:v>None beyond the source-specific refresh workflow.</x:v>
      </x:c>
    </x:row>
    <x:row r="233" ht="64" customHeight="1">
      <x:c r="A233" s="21" t="n">
        <x:v>229</x:v>
      </x:c>
      <x:c r="B233" s="21" t="str">
        <x:v>Version A</x:v>
      </x:c>
      <x:c r="C233" s="21" t="str">
        <x:v>hmda_share_downpayment_below_10pct_benchmark</x:v>
      </x:c>
      <x:c r="D233" s="21" t="str">
        <x:v>HMDA share below 10% down benchmark</x:v>
      </x:c>
      <x:c r="E233" s="21" t="str">
        <x:v>CFPB and FFIEC</x:v>
      </x:c>
      <x:c r="F233" s="29" t="str">
        <x:v>Have</x:v>
      </x:c>
      <x:c r="G233" s="21" t="n">
        <x:v>1</x:v>
      </x:c>
      <x:c r="H233" s="21" t="n">
        <x:v>1</x:v>
      </x:c>
      <x:c r="I233" s="21" t="str">
        <x:v>None in the current Version A output.</x:v>
      </x:c>
      <x:c r="J233" s="21" t="str">
        <x:v>None beyond the source-specific refresh workflow.</x:v>
      </x:c>
    </x:row>
    <x:row r="234" ht="64" customHeight="1">
      <x:c r="A234" s="20" t="n">
        <x:v>230</x:v>
      </x:c>
      <x:c r="B234" s="20" t="str">
        <x:v>Version A</x:v>
      </x:c>
      <x:c r="C234" s="20" t="str">
        <x:v>hmda_share_downpayment_below_20pct_benchmark</x:v>
      </x:c>
      <x:c r="D234" s="20" t="str">
        <x:v>HMDA share below 20% down benchmark</x:v>
      </x:c>
      <x:c r="E234" s="20" t="str">
        <x:v>CFPB and FFIEC</x:v>
      </x:c>
      <x:c r="F234" s="29" t="str">
        <x:v>Have</x:v>
      </x:c>
      <x:c r="G234" s="20" t="n">
        <x:v>1</x:v>
      </x:c>
      <x:c r="H234" s="20" t="n">
        <x:v>1</x:v>
      </x:c>
      <x:c r="I234" s="20" t="str">
        <x:v>None in the current Version A output.</x:v>
      </x:c>
      <x:c r="J234" s="20" t="str">
        <x:v>None beyond the source-specific refresh workflow.</x:v>
      </x:c>
    </x:row>
    <x:row r="235" ht="64" customHeight="1">
      <x:c r="A235" s="21" t="n">
        <x:v>231</x:v>
      </x:c>
      <x:c r="B235" s="21" t="str">
        <x:v>Version A</x:v>
      </x:c>
      <x:c r="C235" s="21" t="str">
        <x:v>hmda_median_downpayment_rate_conventional_benchmark</x:v>
      </x:c>
      <x:c r="D235" s="21" t="str">
        <x:v>HMDA median down-payment rate - conventional benchmark</x:v>
      </x:c>
      <x:c r="E235" s="21" t="str">
        <x:v>CFPB and FFIEC</x:v>
      </x:c>
      <x:c r="F235" s="29" t="str">
        <x:v>Have</x:v>
      </x:c>
      <x:c r="G235" s="21" t="n">
        <x:v>1</x:v>
      </x:c>
      <x:c r="H235" s="21" t="n">
        <x:v>1</x:v>
      </x:c>
      <x:c r="I235" s="21" t="str">
        <x:v>None in the current Version A output.</x:v>
      </x:c>
      <x:c r="J235" s="21" t="str">
        <x:v>None beyond the source-specific refresh workflow.</x:v>
      </x:c>
    </x:row>
    <x:row r="236" ht="64" customHeight="1">
      <x:c r="A236" s="20" t="n">
        <x:v>232</x:v>
      </x:c>
      <x:c r="B236" s="20" t="str">
        <x:v>Version A</x:v>
      </x:c>
      <x:c r="C236" s="20" t="str">
        <x:v>hmda_property_value_weighted_downpayment_rate_conventional_benchmark</x:v>
      </x:c>
      <x:c r="D236" s="20" t="str">
        <x:v>HMDA property-value-weighted down-payment rate - conventional benchmark</x:v>
      </x:c>
      <x:c r="E236" s="20" t="str">
        <x:v>CFPB and FFIEC</x:v>
      </x:c>
      <x:c r="F236" s="29" t="str">
        <x:v>Have</x:v>
      </x:c>
      <x:c r="G236" s="20" t="n">
        <x:v>1</x:v>
      </x:c>
      <x:c r="H236" s="20" t="n">
        <x:v>1</x:v>
      </x:c>
      <x:c r="I236" s="20" t="str">
        <x:v>None in the current Version A output.</x:v>
      </x:c>
      <x:c r="J236" s="20" t="str">
        <x:v>None beyond the source-specific refresh workflow.</x:v>
      </x:c>
    </x:row>
    <x:row r="237" ht="64" customHeight="1">
      <x:c r="A237" s="21" t="n">
        <x:v>233</x:v>
      </x:c>
      <x:c r="B237" s="21" t="str">
        <x:v>Version A</x:v>
      </x:c>
      <x:c r="C237" s="21" t="str">
        <x:v>hmda_aggregate_downpayment_flow_conventional_benchmark</x:v>
      </x:c>
      <x:c r="D237" s="21" t="str">
        <x:v>HMDA aggregate down-payment flow - conventional benchmark</x:v>
      </x:c>
      <x:c r="E237" s="21" t="str">
        <x:v>CFPB and FFIEC</x:v>
      </x:c>
      <x:c r="F237" s="29" t="str">
        <x:v>Have</x:v>
      </x:c>
      <x:c r="G237" s="21" t="n">
        <x:v>1</x:v>
      </x:c>
      <x:c r="H237" s="21" t="n">
        <x:v>1</x:v>
      </x:c>
      <x:c r="I237" s="21" t="str">
        <x:v>None in the current Version A output.</x:v>
      </x:c>
      <x:c r="J237" s="21" t="str">
        <x:v>None beyond the source-specific refresh workflow.</x:v>
      </x:c>
    </x:row>
    <x:row r="238" ht="64" customHeight="1">
      <x:c r="A238" s="20" t="n">
        <x:v>234</x:v>
      </x:c>
      <x:c r="B238" s="20" t="str">
        <x:v>Version A</x:v>
      </x:c>
      <x:c r="C238" s="20" t="str">
        <x:v>hmda_share_downpayment_below_3pct_conventional_benchmark</x:v>
      </x:c>
      <x:c r="D238" s="20" t="str">
        <x:v>HMDA conventional share below 3% down benchmark</x:v>
      </x:c>
      <x:c r="E238" s="20" t="str">
        <x:v>CFPB and FFIEC</x:v>
      </x:c>
      <x:c r="F238" s="29" t="str">
        <x:v>Have</x:v>
      </x:c>
      <x:c r="G238" s="20" t="n">
        <x:v>1</x:v>
      </x:c>
      <x:c r="H238" s="20" t="n">
        <x:v>1</x:v>
      </x:c>
      <x:c r="I238" s="20" t="str">
        <x:v>None in the current Version A output.</x:v>
      </x:c>
      <x:c r="J238" s="20" t="str">
        <x:v>None beyond the source-specific refresh workflow.</x:v>
      </x:c>
    </x:row>
    <x:row r="239" ht="64" customHeight="1">
      <x:c r="A239" s="21" t="n">
        <x:v>235</x:v>
      </x:c>
      <x:c r="B239" s="21" t="str">
        <x:v>Version A</x:v>
      </x:c>
      <x:c r="C239" s="21" t="str">
        <x:v>hmda_share_downpayment_below_5pct_conventional_benchmark</x:v>
      </x:c>
      <x:c r="D239" s="21" t="str">
        <x:v>HMDA conventional share below 5% down benchmark</x:v>
      </x:c>
      <x:c r="E239" s="21" t="str">
        <x:v>CFPB and FFIEC</x:v>
      </x:c>
      <x:c r="F239" s="29" t="str">
        <x:v>Have</x:v>
      </x:c>
      <x:c r="G239" s="21" t="n">
        <x:v>1</x:v>
      </x:c>
      <x:c r="H239" s="21" t="n">
        <x:v>1</x:v>
      </x:c>
      <x:c r="I239" s="21" t="str">
        <x:v>None in the current Version A output.</x:v>
      </x:c>
      <x:c r="J239" s="21" t="str">
        <x:v>None beyond the source-specific refresh workflow.</x:v>
      </x:c>
    </x:row>
    <x:row r="240" ht="64" customHeight="1">
      <x:c r="A240" s="20" t="n">
        <x:v>236</x:v>
      </x:c>
      <x:c r="B240" s="20" t="str">
        <x:v>Version A</x:v>
      </x:c>
      <x:c r="C240" s="20" t="str">
        <x:v>hmda_share_downpayment_below_10pct_conventional_benchmark</x:v>
      </x:c>
      <x:c r="D240" s="20" t="str">
        <x:v>HMDA conventional share below 10% down benchmark</x:v>
      </x:c>
      <x:c r="E240" s="20" t="str">
        <x:v>CFPB and FFIEC</x:v>
      </x:c>
      <x:c r="F240" s="29" t="str">
        <x:v>Have</x:v>
      </x:c>
      <x:c r="G240" s="20" t="n">
        <x:v>1</x:v>
      </x:c>
      <x:c r="H240" s="20" t="n">
        <x:v>1</x:v>
      </x:c>
      <x:c r="I240" s="20" t="str">
        <x:v>None in the current Version A output.</x:v>
      </x:c>
      <x:c r="J240" s="20" t="str">
        <x:v>None beyond the source-specific refresh workflow.</x:v>
      </x:c>
    </x:row>
    <x:row r="241" ht="64" customHeight="1">
      <x:c r="A241" s="21" t="n">
        <x:v>237</x:v>
      </x:c>
      <x:c r="B241" s="21" t="str">
        <x:v>Version A</x:v>
      </x:c>
      <x:c r="C241" s="21" t="str">
        <x:v>hmda_share_downpayment_below_20pct_conventional_benchmark</x:v>
      </x:c>
      <x:c r="D241" s="21" t="str">
        <x:v>HMDA conventional share below 20% down benchmark</x:v>
      </x:c>
      <x:c r="E241" s="21" t="str">
        <x:v>CFPB and FFIEC</x:v>
      </x:c>
      <x:c r="F241" s="29" t="str">
        <x:v>Have</x:v>
      </x:c>
      <x:c r="G241" s="21" t="n">
        <x:v>1</x:v>
      </x:c>
      <x:c r="H241" s="21" t="n">
        <x:v>1</x:v>
      </x:c>
      <x:c r="I241" s="21" t="str">
        <x:v>None in the current Version A output.</x:v>
      </x:c>
      <x:c r="J241" s="21" t="str">
        <x:v>None beyond the source-specific refresh workflow.</x:v>
      </x:c>
    </x:row>
    <x:row r="242" ht="64" customHeight="1">
      <x:c r="A242" s="20" t="n">
        <x:v>238</x:v>
      </x:c>
      <x:c r="B242" s="20" t="str">
        <x:v>Version A</x:v>
      </x:c>
      <x:c r="C242" s="20" t="str">
        <x:v>hmda_median_downpayment_rate_fha_benchmark</x:v>
      </x:c>
      <x:c r="D242" s="20" t="str">
        <x:v>HMDA median down-payment rate - FHA benchmark</x:v>
      </x:c>
      <x:c r="E242" s="20" t="str">
        <x:v>CFPB and FFIEC</x:v>
      </x:c>
      <x:c r="F242" s="29" t="str">
        <x:v>Have</x:v>
      </x:c>
      <x:c r="G242" s="20" t="n">
        <x:v>1</x:v>
      </x:c>
      <x:c r="H242" s="20" t="n">
        <x:v>1</x:v>
      </x:c>
      <x:c r="I242" s="20" t="str">
        <x:v>None in the current Version A output.</x:v>
      </x:c>
      <x:c r="J242" s="20" t="str">
        <x:v>None beyond the source-specific refresh workflow.</x:v>
      </x:c>
    </x:row>
    <x:row r="243" ht="64" customHeight="1">
      <x:c r="A243" s="21" t="n">
        <x:v>239</x:v>
      </x:c>
      <x:c r="B243" s="21" t="str">
        <x:v>Version A</x:v>
      </x:c>
      <x:c r="C243" s="21" t="str">
        <x:v>hmda_property_value_weighted_downpayment_rate_fha_benchmark</x:v>
      </x:c>
      <x:c r="D243" s="21" t="str">
        <x:v>HMDA property-value-weighted down-payment rate - FHA benchmark</x:v>
      </x:c>
      <x:c r="E243" s="21" t="str">
        <x:v>CFPB and FFIEC</x:v>
      </x:c>
      <x:c r="F243" s="29" t="str">
        <x:v>Have</x:v>
      </x:c>
      <x:c r="G243" s="21" t="n">
        <x:v>1</x:v>
      </x:c>
      <x:c r="H243" s="21" t="n">
        <x:v>1</x:v>
      </x:c>
      <x:c r="I243" s="21" t="str">
        <x:v>None in the current Version A output.</x:v>
      </x:c>
      <x:c r="J243" s="21" t="str">
        <x:v>None beyond the source-specific refresh workflow.</x:v>
      </x:c>
    </x:row>
    <x:row r="244" ht="64" customHeight="1">
      <x:c r="A244" s="20" t="n">
        <x:v>240</x:v>
      </x:c>
      <x:c r="B244" s="20" t="str">
        <x:v>Version A</x:v>
      </x:c>
      <x:c r="C244" s="20" t="str">
        <x:v>hmda_aggregate_downpayment_flow_fha_benchmark</x:v>
      </x:c>
      <x:c r="D244" s="20" t="str">
        <x:v>HMDA aggregate down-payment flow - FHA benchmark</x:v>
      </x:c>
      <x:c r="E244" s="20" t="str">
        <x:v>CFPB and FFIEC</x:v>
      </x:c>
      <x:c r="F244" s="29" t="str">
        <x:v>Have</x:v>
      </x:c>
      <x:c r="G244" s="20" t="n">
        <x:v>1</x:v>
      </x:c>
      <x:c r="H244" s="20" t="n">
        <x:v>1</x:v>
      </x:c>
      <x:c r="I244" s="20" t="str">
        <x:v>None in the current Version A output.</x:v>
      </x:c>
      <x:c r="J244" s="20" t="str">
        <x:v>None beyond the source-specific refresh workflow.</x:v>
      </x:c>
    </x:row>
    <x:row r="245" ht="64" customHeight="1">
      <x:c r="A245" s="21" t="n">
        <x:v>241</x:v>
      </x:c>
      <x:c r="B245" s="21" t="str">
        <x:v>Version A</x:v>
      </x:c>
      <x:c r="C245" s="21" t="str">
        <x:v>hmda_share_downpayment_below_3pct_fha_benchmark</x:v>
      </x:c>
      <x:c r="D245" s="21" t="str">
        <x:v>HMDA FHA share below 3% down benchmark</x:v>
      </x:c>
      <x:c r="E245" s="21" t="str">
        <x:v>CFPB and FFIEC</x:v>
      </x:c>
      <x:c r="F245" s="29" t="str">
        <x:v>Have</x:v>
      </x:c>
      <x:c r="G245" s="21" t="n">
        <x:v>1</x:v>
      </x:c>
      <x:c r="H245" s="21" t="n">
        <x:v>1</x:v>
      </x:c>
      <x:c r="I245" s="21" t="str">
        <x:v>None in the current Version A output.</x:v>
      </x:c>
      <x:c r="J245" s="21" t="str">
        <x:v>None beyond the source-specific refresh workflow.</x:v>
      </x:c>
    </x:row>
    <x:row r="246" ht="64" customHeight="1">
      <x:c r="A246" s="20" t="n">
        <x:v>242</x:v>
      </x:c>
      <x:c r="B246" s="20" t="str">
        <x:v>Version A</x:v>
      </x:c>
      <x:c r="C246" s="20" t="str">
        <x:v>hmda_share_downpayment_below_5pct_fha_benchmark</x:v>
      </x:c>
      <x:c r="D246" s="20" t="str">
        <x:v>HMDA FHA share below 5% down benchmark</x:v>
      </x:c>
      <x:c r="E246" s="20" t="str">
        <x:v>CFPB and FFIEC</x:v>
      </x:c>
      <x:c r="F246" s="29" t="str">
        <x:v>Have</x:v>
      </x:c>
      <x:c r="G246" s="20" t="n">
        <x:v>1</x:v>
      </x:c>
      <x:c r="H246" s="20" t="n">
        <x:v>1</x:v>
      </x:c>
      <x:c r="I246" s="20" t="str">
        <x:v>None in the current Version A output.</x:v>
      </x:c>
      <x:c r="J246" s="20" t="str">
        <x:v>None beyond the source-specific refresh workflow.</x:v>
      </x:c>
    </x:row>
    <x:row r="247" ht="64" customHeight="1">
      <x:c r="A247" s="21" t="n">
        <x:v>243</x:v>
      </x:c>
      <x:c r="B247" s="21" t="str">
        <x:v>Version A</x:v>
      </x:c>
      <x:c r="C247" s="21" t="str">
        <x:v>hmda_share_downpayment_below_10pct_fha_benchmark</x:v>
      </x:c>
      <x:c r="D247" s="21" t="str">
        <x:v>HMDA FHA share below 10% down benchmark</x:v>
      </x:c>
      <x:c r="E247" s="21" t="str">
        <x:v>CFPB and FFIEC</x:v>
      </x:c>
      <x:c r="F247" s="29" t="str">
        <x:v>Have</x:v>
      </x:c>
      <x:c r="G247" s="21" t="n">
        <x:v>1</x:v>
      </x:c>
      <x:c r="H247" s="21" t="n">
        <x:v>1</x:v>
      </x:c>
      <x:c r="I247" s="21" t="str">
        <x:v>None in the current Version A output.</x:v>
      </x:c>
      <x:c r="J247" s="21" t="str">
        <x:v>None beyond the source-specific refresh workflow.</x:v>
      </x:c>
    </x:row>
    <x:row r="248" ht="64" customHeight="1">
      <x:c r="A248" s="20" t="n">
        <x:v>244</x:v>
      </x:c>
      <x:c r="B248" s="20" t="str">
        <x:v>Version A</x:v>
      </x:c>
      <x:c r="C248" s="20" t="str">
        <x:v>hmda_share_downpayment_below_20pct_fha_benchmark</x:v>
      </x:c>
      <x:c r="D248" s="20" t="str">
        <x:v>HMDA FHA share below 20% down benchmark</x:v>
      </x:c>
      <x:c r="E248" s="20" t="str">
        <x:v>CFPB and FFIEC</x:v>
      </x:c>
      <x:c r="F248" s="29" t="str">
        <x:v>Have</x:v>
      </x:c>
      <x:c r="G248" s="20" t="n">
        <x:v>1</x:v>
      </x:c>
      <x:c r="H248" s="20" t="n">
        <x:v>1</x:v>
      </x:c>
      <x:c r="I248" s="20" t="str">
        <x:v>None in the current Version A output.</x:v>
      </x:c>
      <x:c r="J248" s="20" t="str">
        <x:v>None beyond the source-specific refresh workflow.</x:v>
      </x:c>
    </x:row>
    <x:row r="249" ht="64" customHeight="1">
      <x:c r="A249" s="21" t="n">
        <x:v>245</x:v>
      </x:c>
      <x:c r="B249" s="21" t="str">
        <x:v>Version A</x:v>
      </x:c>
      <x:c r="C249" s="21" t="str">
        <x:v>hmda_median_downpayment_rate_va_benchmark</x:v>
      </x:c>
      <x:c r="D249" s="21" t="str">
        <x:v>HMDA median down-payment rate - VA benchmark</x:v>
      </x:c>
      <x:c r="E249" s="21" t="str">
        <x:v>CFPB and FFIEC</x:v>
      </x:c>
      <x:c r="F249" s="29" t="str">
        <x:v>Have</x:v>
      </x:c>
      <x:c r="G249" s="21" t="n">
        <x:v>1</x:v>
      </x:c>
      <x:c r="H249" s="21" t="n">
        <x:v>1</x:v>
      </x:c>
      <x:c r="I249" s="21" t="str">
        <x:v>None in the current Version A output.</x:v>
      </x:c>
      <x:c r="J249" s="21" t="str">
        <x:v>None beyond the source-specific refresh workflow.</x:v>
      </x:c>
    </x:row>
    <x:row r="250" ht="64" customHeight="1">
      <x:c r="A250" s="20" t="n">
        <x:v>246</x:v>
      </x:c>
      <x:c r="B250" s="20" t="str">
        <x:v>Version A</x:v>
      </x:c>
      <x:c r="C250" s="20" t="str">
        <x:v>hmda_property_value_weighted_downpayment_rate_va_benchmark</x:v>
      </x:c>
      <x:c r="D250" s="20" t="str">
        <x:v>HMDA property-value-weighted down-payment rate - VA benchmark</x:v>
      </x:c>
      <x:c r="E250" s="20" t="str">
        <x:v>CFPB and FFIEC</x:v>
      </x:c>
      <x:c r="F250" s="29" t="str">
        <x:v>Have</x:v>
      </x:c>
      <x:c r="G250" s="20" t="n">
        <x:v>1</x:v>
      </x:c>
      <x:c r="H250" s="20" t="n">
        <x:v>1</x:v>
      </x:c>
      <x:c r="I250" s="20" t="str">
        <x:v>None in the current Version A output.</x:v>
      </x:c>
      <x:c r="J250" s="20" t="str">
        <x:v>None beyond the source-specific refresh workflow.</x:v>
      </x:c>
    </x:row>
    <x:row r="251" ht="64" customHeight="1">
      <x:c r="A251" s="21" t="n">
        <x:v>247</x:v>
      </x:c>
      <x:c r="B251" s="21" t="str">
        <x:v>Version A</x:v>
      </x:c>
      <x:c r="C251" s="21" t="str">
        <x:v>hmda_aggregate_downpayment_flow_va_benchmark</x:v>
      </x:c>
      <x:c r="D251" s="21" t="str">
        <x:v>HMDA aggregate down-payment flow - VA benchmark</x:v>
      </x:c>
      <x:c r="E251" s="21" t="str">
        <x:v>CFPB and FFIEC</x:v>
      </x:c>
      <x:c r="F251" s="29" t="str">
        <x:v>Have</x:v>
      </x:c>
      <x:c r="G251" s="21" t="n">
        <x:v>1</x:v>
      </x:c>
      <x:c r="H251" s="21" t="n">
        <x:v>1</x:v>
      </x:c>
      <x:c r="I251" s="21" t="str">
        <x:v>None in the current Version A output.</x:v>
      </x:c>
      <x:c r="J251" s="21" t="str">
        <x:v>None beyond the source-specific refresh workflow.</x:v>
      </x:c>
    </x:row>
    <x:row r="252" ht="64" customHeight="1">
      <x:c r="A252" s="20" t="n">
        <x:v>248</x:v>
      </x:c>
      <x:c r="B252" s="20" t="str">
        <x:v>Version A</x:v>
      </x:c>
      <x:c r="C252" s="20" t="str">
        <x:v>hmda_share_downpayment_below_3pct_va_benchmark</x:v>
      </x:c>
      <x:c r="D252" s="20" t="str">
        <x:v>HMDA VA share below 3% down benchmark</x:v>
      </x:c>
      <x:c r="E252" s="20" t="str">
        <x:v>CFPB and FFIEC</x:v>
      </x:c>
      <x:c r="F252" s="29" t="str">
        <x:v>Have</x:v>
      </x:c>
      <x:c r="G252" s="20" t="n">
        <x:v>1</x:v>
      </x:c>
      <x:c r="H252" s="20" t="n">
        <x:v>1</x:v>
      </x:c>
      <x:c r="I252" s="20" t="str">
        <x:v>None in the current Version A output.</x:v>
      </x:c>
      <x:c r="J252" s="20" t="str">
        <x:v>None beyond the source-specific refresh workflow.</x:v>
      </x:c>
    </x:row>
    <x:row r="253" ht="64" customHeight="1">
      <x:c r="A253" s="21" t="n">
        <x:v>249</x:v>
      </x:c>
      <x:c r="B253" s="21" t="str">
        <x:v>Version A</x:v>
      </x:c>
      <x:c r="C253" s="21" t="str">
        <x:v>hmda_share_downpayment_below_5pct_va_benchmark</x:v>
      </x:c>
      <x:c r="D253" s="21" t="str">
        <x:v>HMDA VA share below 5% down benchmark</x:v>
      </x:c>
      <x:c r="E253" s="21" t="str">
        <x:v>CFPB and FFIEC</x:v>
      </x:c>
      <x:c r="F253" s="29" t="str">
        <x:v>Have</x:v>
      </x:c>
      <x:c r="G253" s="21" t="n">
        <x:v>1</x:v>
      </x:c>
      <x:c r="H253" s="21" t="n">
        <x:v>1</x:v>
      </x:c>
      <x:c r="I253" s="21" t="str">
        <x:v>None in the current Version A output.</x:v>
      </x:c>
      <x:c r="J253" s="21" t="str">
        <x:v>None beyond the source-specific refresh workflow.</x:v>
      </x:c>
    </x:row>
    <x:row r="254" ht="64" customHeight="1">
      <x:c r="A254" s="20" t="n">
        <x:v>250</x:v>
      </x:c>
      <x:c r="B254" s="20" t="str">
        <x:v>Version A</x:v>
      </x:c>
      <x:c r="C254" s="20" t="str">
        <x:v>hmda_share_downpayment_below_10pct_va_benchmark</x:v>
      </x:c>
      <x:c r="D254" s="20" t="str">
        <x:v>HMDA VA share below 10% down benchmark</x:v>
      </x:c>
      <x:c r="E254" s="20" t="str">
        <x:v>CFPB and FFIEC</x:v>
      </x:c>
      <x:c r="F254" s="29" t="str">
        <x:v>Have</x:v>
      </x:c>
      <x:c r="G254" s="20" t="n">
        <x:v>1</x:v>
      </x:c>
      <x:c r="H254" s="20" t="n">
        <x:v>1</x:v>
      </x:c>
      <x:c r="I254" s="20" t="str">
        <x:v>None in the current Version A output.</x:v>
      </x:c>
      <x:c r="J254" s="20" t="str">
        <x:v>None beyond the source-specific refresh workflow.</x:v>
      </x:c>
    </x:row>
    <x:row r="255" ht="64" customHeight="1">
      <x:c r="A255" s="21" t="n">
        <x:v>251</x:v>
      </x:c>
      <x:c r="B255" s="21" t="str">
        <x:v>Version A</x:v>
      </x:c>
      <x:c r="C255" s="21" t="str">
        <x:v>hmda_share_downpayment_below_20pct_va_benchmark</x:v>
      </x:c>
      <x:c r="D255" s="21" t="str">
        <x:v>HMDA VA share below 20% down benchmark</x:v>
      </x:c>
      <x:c r="E255" s="21" t="str">
        <x:v>CFPB and FFIEC</x:v>
      </x:c>
      <x:c r="F255" s="29" t="str">
        <x:v>Have</x:v>
      </x:c>
      <x:c r="G255" s="21" t="n">
        <x:v>1</x:v>
      </x:c>
      <x:c r="H255" s="21" t="n">
        <x:v>1</x:v>
      </x:c>
      <x:c r="I255" s="21" t="str">
        <x:v>None in the current Version A output.</x:v>
      </x:c>
      <x:c r="J255" s="21" t="str">
        <x:v>None beyond the source-specific refresh workflow.</x:v>
      </x:c>
    </x:row>
  </x:sheetData>
  <x:mergeCells>
    <x:mergeCell ref="A1:J1"/>
    <x:mergeCell ref="A2:J2"/>
    <x:mergeCell ref="A3:J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 hidden="0" customWidth="1"/>
    <x:col min="2" max="2" width="13" hidden="0" customWidth="1"/>
    <x:col min="3" max="3" width="48" hidden="0" customWidth="1"/>
    <x:col min="4" max="4" width="38" hidden="0" customWidth="1"/>
    <x:col min="5" max="5" width="18" hidden="0" customWidth="1"/>
    <x:col min="6" max="6" width="19" hidden="0" customWidth="1"/>
    <x:col min="7" max="7" width="58" hidden="0" customWidth="1"/>
    <x:col min="8" max="8" width="28" hidden="0" customWidth="1"/>
    <x:col min="9" max="9" width="19" hidden="0" customWidth="1"/>
    <x:col min="10" max="10" width="58" hidden="0" customWidth="1"/>
    <x:col min="11" max="11" width="62" hidden="0" customWidth="1"/>
    <x:col min="12" max="12" width="62" hidden="0" customWidth="1"/>
    <x:col min="13" max="13" width="62" hidden="0" customWidth="1"/>
    <x:col min="14" max="14" width="50" hidden="0" customWidth="1"/>
  </x:cols>
  <x:sheetData>
    <x:row r="1" ht="30" customHeight="1">
      <x:c r="A1" s="3" t="str">
        <x:v>Per-Variable Source Authorization Audit</x:v>
      </x:c>
      <x:c r="B1" s="3"/>
      <x:c r="C1" s="3"/>
      <x:c r="D1" s="3"/>
      <x:c r="E1" s="3"/>
      <x:c r="F1" s="3"/>
      <x:c r="G1" s="3"/>
      <x:c r="H1" s="3"/>
      <x:c r="I1" s="3"/>
      <x:c r="J1" s="3"/>
      <x:c r="K1" s="3"/>
      <x:c r="L1" s="3"/>
      <x:c r="M1" s="3"/>
      <x:c r="N1" s="3"/>
    </x:row>
    <x:row r="2" ht="34" customHeight="1">
      <x:c r="A2" s="7" t="str">
        <x:v>Every configured variable ID is labeled by current output status and its exact relationship to LA_CA_Housing_Additional_Variables_Methodology.docx.</x:v>
      </x:c>
      <x:c r="B2" s="7"/>
      <x:c r="C2" s="7"/>
      <x:c r="D2" s="7"/>
      <x:c r="E2" s="7"/>
      <x:c r="F2" s="7"/>
      <x:c r="G2" s="7"/>
      <x:c r="H2" s="7"/>
      <x:c r="I2" s="7"/>
      <x:c r="J2" s="7"/>
      <x:c r="K2" s="7"/>
      <x:c r="L2" s="7"/>
      <x:c r="M2" s="7"/>
      <x:c r="N2" s="7"/>
    </x:row>
    <x:row r="3" ht="38" customHeight="1">
      <x:c r="A3" s="11" t="str">
        <x:v>Yes means the latest document assigns this source/use to the variable. Partial/context means the provider or concept appears but does not fully authorize this exact use. No means earlier/repository-only scope. Provider appearance is never blanket authorization.</x:v>
      </x:c>
      <x:c r="B3" s="11"/>
      <x:c r="C3" s="11"/>
      <x:c r="D3" s="11"/>
      <x:c r="E3" s="11"/>
      <x:c r="F3" s="11"/>
      <x:c r="G3" s="11"/>
      <x:c r="H3" s="11"/>
      <x:c r="I3" s="11"/>
      <x:c r="J3" s="11"/>
      <x:c r="K3" s="11"/>
      <x:c r="L3" s="11"/>
      <x:c r="M3" s="11"/>
      <x:c r="N3" s="11"/>
    </x:row>
    <x:row r="4" ht="38" customHeight="1">
      <x:c r="A4" s="17" t="str">
        <x:v>#</x:v>
      </x:c>
      <x:c r="B4" s="17" t="str">
        <x:v>Contract</x:v>
      </x:c>
      <x:c r="C4" s="17" t="str">
        <x:v>Variable ID</x:v>
      </x:c>
      <x:c r="D4" s="17" t="str">
        <x:v>Display name</x:v>
      </x:c>
      <x:c r="E4" s="17" t="str">
        <x:v>Current output status</x:v>
      </x:c>
      <x:c r="F4" s="17" t="str">
        <x:v>Requirement-group availability</x:v>
      </x:c>
      <x:c r="G4" s="17" t="str">
        <x:v>Implemented source ID(s) / provider</x:v>
      </x:c>
      <x:c r="H4" s="17" t="str">
        <x:v>Dictionary provider</x:v>
      </x:c>
      <x:c r="I4" s="17" t="str">
        <x:v>In latest methodology?</x:v>
      </x:c>
      <x:c r="J4" s="17" t="str">
        <x:v>Latest-document source / relationship</x:v>
      </x:c>
      <x:c r="K4" s="17" t="str">
        <x:v>What the current source is used for</x:v>
      </x:c>
      <x:c r="L4" s="17" t="str">
        <x:v>Coverage and gaps</x:v>
      </x:c>
      <x:c r="M4" s="17" t="str">
        <x:v>Blocker / exact next step</x:v>
      </x:c>
      <x:c r="N4" s="17" t="str">
        <x:v>Document evidence</x:v>
      </x:c>
    </x:row>
    <x:row r="5" ht="82" customHeight="1">
      <x:c r="A5" s="21" t="n">
        <x:v>1</x:v>
      </x:c>
      <x:c r="B5" s="21" t="str">
        <x:v>General</x:v>
      </x:c>
      <x:c r="C5" s="21" t="str">
        <x:v>zhvi</x:v>
      </x:c>
      <x:c r="D5" s="21" t="str">
        <x:v>Zillow Home Value Index</x:v>
      </x:c>
      <x:c r="E5" s="29" t="str">
        <x:v>Have</x:v>
      </x:c>
      <x:c r="F5" s="29" t="str">
        <x:v>Have</x:v>
      </x:c>
      <x:c r="G5" s="21" t="str">
        <x:v>zillow_county_zhvi | zillow_zip_zhvi (Zillow Research)</x:v>
      </x:c>
      <x:c r="H5" s="21" t="str">
        <x:v>Zillow Research</x:v>
      </x:c>
      <x:c r="I5" s="29" t="str">
        <x:v>Yes</x:v>
      </x:c>
      <x:c r="J5" s="21" t="str">
        <x:v>Zillow Housing Data: compatible ZHVI and ZORI. Explicit matched-month Zillow price-to-rent input/output.</x:v>
      </x:c>
      <x:c r="K5" s="21" t="str">
        <x:v>Typical home value for the 35th-65th percentile. Used within the latest document's stated variable-specific role and limitations.</x:v>
      </x:c>
      <x:c r="L5" s="21" t="str">
        <x:v>county 2000-01-31 to 2026-05-31: 317/317 non-null across 1 geographies | postal_zip 2000-01-31 to 2026-05-31: 86418/86858 non-null across 274 geographies; 440 source/method null rows</x:v>
      </x:c>
      <x:c r="M5" s="21" t="str">
        <x:v>None beyond source-specific refresh and QA.</x:v>
      </x:c>
      <x:c r="N5" s="21" t="str">
        <x:v>Section 6 and Section 11 naming table.</x:v>
      </x:c>
    </x:row>
    <x:row r="6" ht="82" customHeight="1">
      <x:c r="A6" s="20" t="n">
        <x:v>2</x:v>
      </x:c>
      <x:c r="B6" s="20" t="str">
        <x:v>General</x:v>
      </x:c>
      <x:c r="C6" s="20" t="str">
        <x:v>zori_smoothed_sa</x:v>
      </x:c>
      <x:c r="D6" s="20" t="str">
        <x:v>Zillow Observed Rent Index - smoothed seasonally adjusted</x:v>
      </x:c>
      <x:c r="E6" s="29" t="str">
        <x:v>Have</x:v>
      </x:c>
      <x:c r="F6" s="29" t="str">
        <x:v>Have</x:v>
      </x:c>
      <x:c r="G6" s="20" t="str">
        <x:v>zillow_county_zori_smoothed_sa | zillow_zip_zori_smoothed_sa (Zillow Research)</x:v>
      </x:c>
      <x:c r="H6" s="20" t="str">
        <x:v>Zillow Research</x:v>
      </x:c>
      <x:c r="I6" s="29" t="str">
        <x:v>Yes</x:v>
      </x:c>
      <x:c r="J6" s="20" t="str">
        <x:v>Zillow Housing Data: compatible ZHVI and ZORI. Explicit matched-month Zillow price-to-rent input/output.</x:v>
      </x:c>
      <x:c r="K6" s="20" t="str">
        <x:v>Typical observed market-rate rent for all homes plus multifamily with smoothing and seasonal adjustment. Used within the latest document's stated variable-specific role and limitations.</x:v>
      </x:c>
      <x:c r="L6" s="20" t="str">
        <x:v>county 2015-01-31 to 2026-05-31: 137/137 non-null across 1 geographies | postal_zip 2015-01-31 to 2026-05-31: 17866/33565 non-null across 245 geographies; 15699 source/method null rows</x:v>
      </x:c>
      <x:c r="M6" s="20" t="str">
        <x:v>None beyond source-specific refresh and QA.</x:v>
      </x:c>
      <x:c r="N6" s="20" t="str">
        <x:v>Section 6 and Section 11 naming table.</x:v>
      </x:c>
    </x:row>
    <x:row r="7" ht="82" customHeight="1">
      <x:c r="A7" s="21" t="n">
        <x:v>3</x:v>
      </x:c>
      <x:c r="B7" s="21" t="str">
        <x:v>General</x:v>
      </x:c>
      <x:c r="C7" s="21" t="str">
        <x:v>redfin_zip_homes_sold_rolling_3m</x:v>
      </x:c>
      <x:c r="D7" s="21" t="str">
        <x:v>Redfin ZIP homes sold - rolling 3 months</x:v>
      </x:c>
      <x:c r="E7" s="29" t="str">
        <x:v>Have</x:v>
      </x:c>
      <x:c r="F7" s="29" t="str">
        <x:v>Have</x:v>
      </x:c>
      <x:c r="G7" s="21" t="str">
        <x:v>redfin_zip_monthly (Redfin Data Center)</x:v>
      </x:c>
      <x:c r="H7" s="21" t="str">
        <x:v>Redfin Data Center</x:v>
      </x:c>
      <x:c r="I7" s="33" t="str">
        <x:v>No</x:v>
      </x:c>
      <x:c r="J7" s="21" t="str">
        <x:v>None for this variable in the latest document. This variable/source use is not assigned in the latest Additional Variables document; it is retained from an earlier tracker/method or the repository's existing contract.</x:v>
      </x:c>
      <x:c r="K7" s="21" t="str">
        <x:v>Closed home sales observed over an overlapping three-calendar-month window. Used for the existing Redfin postal-ZIP field. The current fact rows have blank source_id values, but config/catalog/raw lineage identifies redfin_zip_monthly; this lineage defect is disclosed rather than hidden.</x:v>
      </x:c>
      <x:c r="L7" s="21" t="str">
        <x:v>postal_zip 2019-06-30 to 2026-05-31: 22946/23009 non-null across 274 geographies; 63 source/method null rows</x:v>
      </x:c>
      <x:c r="M7" s="21" t="str">
        <x:v>None beyond source-specific refresh and QA.</x:v>
      </x:c>
      <x:c r="N7" s="21" t="str">
        <x:v>Outside the seven source-scoped groups in Sections 3-9.</x:v>
      </x:c>
    </x:row>
    <x:row r="8" ht="82" customHeight="1">
      <x:c r="A8" s="20" t="n">
        <x:v>4</x:v>
      </x:c>
      <x:c r="B8" s="20" t="str">
        <x:v>General</x:v>
      </x:c>
      <x:c r="C8" s="20" t="str">
        <x:v>redfin_zip_median_sale_price_nsa_rolling_3m</x:v>
      </x:c>
      <x:c r="D8" s="20" t="str">
        <x:v>Redfin ZIP median sale price NSA - rolling 3 months</x:v>
      </x:c>
      <x:c r="E8" s="29" t="str">
        <x:v>Have</x:v>
      </x:c>
      <x:c r="F8" s="29" t="str">
        <x:v>Have</x:v>
      </x:c>
      <x:c r="G8" s="20" t="str">
        <x:v>redfin_zip_monthly (Redfin Data Center)</x:v>
      </x:c>
      <x:c r="H8" s="20" t="str">
        <x:v>Redfin Data Center</x:v>
      </x:c>
      <x:c r="I8" s="29" t="str">
        <x:v>Yes</x:v>
      </x:c>
      <x:c r="J8" s="20" t="str">
        <x:v>Redfin median sale price. Explicit Redfin median-sale-price input to closing-cost scenarios.</x:v>
      </x:c>
      <x:c r="K8" s="20" t="str">
        <x:v>Median closed-sale price over an overlapping three-calendar-month window. Used for the existing Redfin postal-ZIP field. The current fact rows have blank source_id values, but config/catalog/raw lineage identifies redfin_zip_monthly; this lineage defect is disclosed rather than hidden.</x:v>
      </x:c>
      <x:c r="L8" s="20" t="str">
        <x:v>postal_zip 2019-06-30 to 2026-05-31: 22946/23009 non-null across 274 geographies; 63 source/method null rows</x:v>
      </x:c>
      <x:c r="M8" s="20" t="str">
        <x:v>None beyond source-specific refresh and QA.</x:v>
      </x:c>
      <x:c r="N8" s="20" t="str">
        <x:v>Section 3 construction item 1 and status-summary closing-cost row.</x:v>
      </x:c>
    </x:row>
    <x:row r="9" ht="82" customHeight="1">
      <x:c r="A9" s="21" t="n">
        <x:v>5</x:v>
      </x:c>
      <x:c r="B9" s="21" t="str">
        <x:v>General</x:v>
      </x:c>
      <x:c r="C9" s="21" t="str">
        <x:v>redfin_zip_median_days_on_market_rolling_3m</x:v>
      </x:c>
      <x:c r="D9" s="21" t="str">
        <x:v>Redfin ZIP median days on market - rolling 3 months</x:v>
      </x:c>
      <x:c r="E9" s="29" t="str">
        <x:v>Have</x:v>
      </x:c>
      <x:c r="F9" s="29" t="str">
        <x:v>Have</x:v>
      </x:c>
      <x:c r="G9" s="21" t="str">
        <x:v>redfin_zip_monthly (Redfin Data Center)</x:v>
      </x:c>
      <x:c r="H9" s="21" t="str">
        <x:v>Redfin Data Center</x:v>
      </x:c>
      <x:c r="I9" s="33" t="str">
        <x:v>No</x:v>
      </x:c>
      <x:c r="J9" s="21" t="str">
        <x:v>None for this variable in the latest document. This variable/source use is not assigned in the latest Additional Variables document; it is retained from an earlier tracker/method or the repository's existing contract.</x:v>
      </x:c>
      <x:c r="K9" s="21" t="str">
        <x:v>Median listing-to-contract days over an overlapping three-calendar-month window. Used for the existing Redfin postal-ZIP field. The current fact rows have blank source_id values, but config/catalog/raw lineage identifies redfin_zip_monthly; this lineage defect is disclosed rather than hidden.</x:v>
      </x:c>
      <x:c r="L9" s="21" t="str">
        <x:v>postal_zip 2019-06-30 to 2026-05-31: 22946/23009 non-null across 274 geographies; 63 source/method null rows</x:v>
      </x:c>
      <x:c r="M9" s="21" t="str">
        <x:v>None beyond source-specific refresh and QA.</x:v>
      </x:c>
      <x:c r="N9" s="21" t="str">
        <x:v>Outside the seven source-scoped groups in Sections 3-9.</x:v>
      </x:c>
    </x:row>
    <x:row r="10" ht="82" customHeight="1">
      <x:c r="A10" s="20" t="n">
        <x:v>6</x:v>
      </x:c>
      <x:c r="B10" s="20" t="str">
        <x:v>General</x:v>
      </x:c>
      <x:c r="C10" s="20" t="str">
        <x:v>redfin_zip_new_listings_rolling_3m</x:v>
      </x:c>
      <x:c r="D10" s="20" t="str">
        <x:v>Redfin ZIP new listings - rolling 3 months</x:v>
      </x:c>
      <x:c r="E10" s="29" t="str">
        <x:v>Have</x:v>
      </x:c>
      <x:c r="F10" s="29" t="str">
        <x:v>Have</x:v>
      </x:c>
      <x:c r="G10" s="20" t="str">
        <x:v>redfin_zip_monthly (Redfin Data Center)</x:v>
      </x:c>
      <x:c r="H10" s="20" t="str">
        <x:v>Redfin Data Center</x:v>
      </x:c>
      <x:c r="I10" s="33" t="str">
        <x:v>No</x:v>
      </x:c>
      <x:c r="J10" s="20" t="str">
        <x:v>None for this variable in the latest document. This variable/source use is not assigned in the latest Additional Variables document; it is retained from an earlier tracker/method or the repository's existing contract.</x:v>
      </x:c>
      <x:c r="K10" s="20" t="str">
        <x:v>New listings observed over an overlapping three-calendar-month window. Used for the existing Redfin postal-ZIP field. The current fact rows have blank source_id values, but config/catalog/raw lineage identifies redfin_zip_monthly; this lineage defect is disclosed rather than hidden.</x:v>
      </x:c>
      <x:c r="L10" s="20" t="str">
        <x:v>postal_zip 2019-06-30 to 2026-05-31: 22978/23009 non-null across 274 geographies; 31 source/method null rows</x:v>
      </x:c>
      <x:c r="M10" s="20" t="str">
        <x:v>None beyond source-specific refresh and QA.</x:v>
      </x:c>
      <x:c r="N10" s="20" t="str">
        <x:v>Outside the seven source-scoped groups in Sections 3-9.</x:v>
      </x:c>
    </x:row>
    <x:row r="11" ht="82" customHeight="1">
      <x:c r="A11" s="21" t="n">
        <x:v>7</x:v>
      </x:c>
      <x:c r="B11" s="21" t="str">
        <x:v>General</x:v>
      </x:c>
      <x:c r="C11" s="21" t="str">
        <x:v>redfin_zip_active_listings_rolling_3m</x:v>
      </x:c>
      <x:c r="D11" s="21" t="str">
        <x:v>Redfin ZIP active listings - rolling 3 months</x:v>
      </x:c>
      <x:c r="E11" s="29" t="str">
        <x:v>Have</x:v>
      </x:c>
      <x:c r="F11" s="29" t="str">
        <x:v>Have</x:v>
      </x:c>
      <x:c r="G11" s="21" t="str">
        <x:v>redfin_zip_monthly (Redfin Data Center)</x:v>
      </x:c>
      <x:c r="H11" s="21" t="str">
        <x:v>Redfin Data Center</x:v>
      </x:c>
      <x:c r="I11" s="33" t="str">
        <x:v>No</x:v>
      </x:c>
      <x:c r="J11" s="21" t="str">
        <x:v>None for this variable in the latest document. This variable/source use is not assigned in the latest Additional Variables document; it is retained from an earlier tracker/method or the repository's existing contract.</x:v>
      </x:c>
      <x:c r="K11" s="21" t="str">
        <x:v>Provider active-listings metric for an overlapping three-calendar-month window. Used for the existing Redfin postal-ZIP field. The current fact rows have blank source_id values, but config/catalog/raw lineage identifies redfin_zip_monthly; this lineage defect is disclosed rather than hidden.</x:v>
      </x:c>
      <x:c r="L11" s="21" t="str">
        <x:v>postal_zip 2019-06-30 to 2026-05-31: 23008/23009 non-null across 274 geographies; 1 source/method null rows</x:v>
      </x:c>
      <x:c r="M11" s="21" t="str">
        <x:v>None beyond source-specific refresh and QA.</x:v>
      </x:c>
      <x:c r="N11" s="21" t="str">
        <x:v>Outside the seven source-scoped groups in Sections 3-9.</x:v>
      </x:c>
    </x:row>
    <x:row r="12" ht="82" customHeight="1">
      <x:c r="A12" s="20" t="n">
        <x:v>8</x:v>
      </x:c>
      <x:c r="B12" s="20" t="str">
        <x:v>General</x:v>
      </x:c>
      <x:c r="C12" s="20" t="str">
        <x:v>redfin_zip_pending_sales_rolling_3m</x:v>
      </x:c>
      <x:c r="D12" s="20" t="str">
        <x:v>Redfin ZIP pending sales - rolling 3 months</x:v>
      </x:c>
      <x:c r="E12" s="29" t="str">
        <x:v>Have</x:v>
      </x:c>
      <x:c r="F12" s="29" t="str">
        <x:v>Have</x:v>
      </x:c>
      <x:c r="G12" s="20" t="str">
        <x:v>redfin_zip_monthly (Redfin Data Center)</x:v>
      </x:c>
      <x:c r="H12" s="20" t="str">
        <x:v>Redfin Data Center</x:v>
      </x:c>
      <x:c r="I12" s="33" t="str">
        <x:v>No</x:v>
      </x:c>
      <x:c r="J12" s="20" t="str">
        <x:v>None for this variable in the latest document. This variable/source use is not assigned in the latest Additional Variables document; it is retained from an earlier tracker/method or the repository's existing contract.</x:v>
      </x:c>
      <x:c r="K12" s="20" t="str">
        <x:v>Pending sales observed over an overlapping three-calendar-month window. Used for the existing Redfin postal-ZIP field. The current fact rows have blank source_id values, but config/catalog/raw lineage identifies redfin_zip_monthly; this lineage defect is disclosed rather than hidden.</x:v>
      </x:c>
      <x:c r="L12" s="20" t="str">
        <x:v>postal_zip 2019-06-30 to 2026-05-31: 22957/23009 non-null across 274 geographies; 52 source/method null rows</x:v>
      </x:c>
      <x:c r="M12" s="20" t="str">
        <x:v>None beyond source-specific refresh and QA.</x:v>
      </x:c>
      <x:c r="N12" s="20" t="str">
        <x:v>Outside the seven source-scoped groups in Sections 3-9.</x:v>
      </x:c>
    </x:row>
    <x:row r="13" ht="82" customHeight="1">
      <x:c r="A13" s="21" t="n">
        <x:v>9</x:v>
      </x:c>
      <x:c r="B13" s="21" t="str">
        <x:v>General</x:v>
      </x:c>
      <x:c r="C13" s="21" t="str">
        <x:v>redfin_zip_homes_sold_yoy_pct_provider_rolling_3m</x:v>
      </x:c>
      <x:c r="D13" s="21" t="str">
        <x:v>Redfin ZIP homes sold provider YoY - rolling 3 months</x:v>
      </x:c>
      <x:c r="E13" s="29" t="str">
        <x:v>Have</x:v>
      </x:c>
      <x:c r="F13" s="29" t="str">
        <x:v>Have</x:v>
      </x:c>
      <x:c r="G13" s="21" t="str">
        <x:v>redfin_zip_monthly (Redfin Data Center)</x:v>
      </x:c>
      <x:c r="H13" s="21" t="str">
        <x:v>Redfin Data Center</x:v>
      </x:c>
      <x:c r="I13" s="33" t="str">
        <x:v>No</x:v>
      </x:c>
      <x:c r="J13" s="21" t="str">
        <x:v>None for this variable in the latest document. This variable/source use is not assigned in the latest Additional Variables document; it is retained from an earlier tracker/method or the repository's existing contract.</x:v>
      </x:c>
      <x:c r="K13" s="21" t="str">
        <x:v>Provider-reported year-over-year change in rolling-three-month homes sold. Used for the existing Redfin postal-ZIP field. The current fact rows have blank source_id values, but config/catalog/raw lineage identifies redfin_zip_monthly; this lineage defect is disclosed rather than hidden.</x:v>
      </x:c>
      <x:c r="L13" s="21" t="str">
        <x:v>postal_zip 2019-06-30 to 2026-05-31: 19625/23009 non-null across 274 geographies; 3384 source/method null rows</x:v>
      </x:c>
      <x:c r="M13" s="21" t="str">
        <x:v>None beyond source-specific refresh and QA.</x:v>
      </x:c>
      <x:c r="N13" s="21" t="str">
        <x:v>Outside the seven source-scoped groups in Sections 3-9.</x:v>
      </x:c>
    </x:row>
    <x:row r="14" ht="82" customHeight="1">
      <x:c r="A14" s="20" t="n">
        <x:v>10</x:v>
      </x:c>
      <x:c r="B14" s="20" t="str">
        <x:v>General</x:v>
      </x:c>
      <x:c r="C14" s="20" t="str">
        <x:v>redfin_zip_median_sale_price_nsa_yoy_pct_provider_rolling_3m</x:v>
      </x:c>
      <x:c r="D14" s="20" t="str">
        <x:v>Redfin ZIP median sale price NSA provider YoY - rolling 3 months</x:v>
      </x:c>
      <x:c r="E14" s="29" t="str">
        <x:v>Have</x:v>
      </x:c>
      <x:c r="F14" s="29" t="str">
        <x:v>Have</x:v>
      </x:c>
      <x:c r="G14" s="20" t="str">
        <x:v>redfin_zip_monthly (Redfin Data Center)</x:v>
      </x:c>
      <x:c r="H14" s="20" t="str">
        <x:v>Redfin Data Center</x:v>
      </x:c>
      <x:c r="I14" s="33" t="str">
        <x:v>No</x:v>
      </x:c>
      <x:c r="J14" s="20" t="str">
        <x:v>None for this variable in the latest document. This variable/source use is not assigned in the latest Additional Variables document; it is retained from an earlier tracker/method or the repository's existing contract.</x:v>
      </x:c>
      <x:c r="K14" s="20" t="str">
        <x:v>Provider-reported year-over-year change in rolling-three-month NSA median sale price. Used for the existing Redfin postal-ZIP field. The current fact rows have blank source_id values, but config/catalog/raw lineage identifies redfin_zip_monthly; this lineage defect is disclosed rather than hidden.</x:v>
      </x:c>
      <x:c r="L14" s="20" t="str">
        <x:v>postal_zip 2019-06-30 to 2026-05-31: 19625/23009 non-null across 274 geographies; 3384 source/method null rows</x:v>
      </x:c>
      <x:c r="M14" s="20" t="str">
        <x:v>None beyond source-specific refresh and QA.</x:v>
      </x:c>
      <x:c r="N14" s="20" t="str">
        <x:v>Outside the seven source-scoped groups in Sections 3-9.</x:v>
      </x:c>
    </x:row>
    <x:row r="15" ht="82" customHeight="1">
      <x:c r="A15" s="21" t="n">
        <x:v>11</x:v>
      </x:c>
      <x:c r="B15" s="21" t="str">
        <x:v>General</x:v>
      </x:c>
      <x:c r="C15" s="21" t="str">
        <x:v>redfin_zip_median_days_on_market_yoy_pct_provider_rolling_3m</x:v>
      </x:c>
      <x:c r="D15" s="21" t="str">
        <x:v>Redfin ZIP median days on market provider YoY - rolling 3 months</x:v>
      </x:c>
      <x:c r="E15" s="29" t="str">
        <x:v>Have</x:v>
      </x:c>
      <x:c r="F15" s="29" t="str">
        <x:v>Have</x:v>
      </x:c>
      <x:c r="G15" s="21" t="str">
        <x:v>redfin_zip_monthly (Redfin Data Center)</x:v>
      </x:c>
      <x:c r="H15" s="21" t="str">
        <x:v>Redfin Data Center</x:v>
      </x:c>
      <x:c r="I15" s="33" t="str">
        <x:v>No</x:v>
      </x:c>
      <x:c r="J15" s="21" t="str">
        <x:v>None for this variable in the latest document. This variable/source use is not assigned in the latest Additional Variables document; it is retained from an earlier tracker/method or the repository's existing contract.</x:v>
      </x:c>
      <x:c r="K15" s="21" t="str">
        <x:v>Provider-reported year-over-year change in rolling-three-month median days on market. Used for the existing Redfin postal-ZIP field. The current fact rows have blank source_id values, but config/catalog/raw lineage identifies redfin_zip_monthly; this lineage defect is disclosed rather than hidden.</x:v>
      </x:c>
      <x:c r="L15" s="21" t="str">
        <x:v>postal_zip 2019-06-30 to 2026-05-31: 19625/23009 non-null across 274 geographies; 3384 source/method null rows</x:v>
      </x:c>
      <x:c r="M15" s="21" t="str">
        <x:v>None beyond source-specific refresh and QA.</x:v>
      </x:c>
      <x:c r="N15" s="21" t="str">
        <x:v>Outside the seven source-scoped groups in Sections 3-9.</x:v>
      </x:c>
    </x:row>
    <x:row r="16" ht="82" customHeight="1">
      <x:c r="A16" s="20" t="n">
        <x:v>12</x:v>
      </x:c>
      <x:c r="B16" s="20" t="str">
        <x:v>General</x:v>
      </x:c>
      <x:c r="C16" s="20" t="str">
        <x:v>redfin_zip_new_listings_yoy_pct_provider_rolling_3m</x:v>
      </x:c>
      <x:c r="D16" s="20" t="str">
        <x:v>Redfin ZIP new listings provider YoY - rolling 3 months</x:v>
      </x:c>
      <x:c r="E16" s="29" t="str">
        <x:v>Have</x:v>
      </x:c>
      <x:c r="F16" s="29" t="str">
        <x:v>Have</x:v>
      </x:c>
      <x:c r="G16" s="20" t="str">
        <x:v>redfin_zip_monthly (Redfin Data Center)</x:v>
      </x:c>
      <x:c r="H16" s="20" t="str">
        <x:v>Redfin Data Center</x:v>
      </x:c>
      <x:c r="I16" s="33" t="str">
        <x:v>No</x:v>
      </x:c>
      <x:c r="J16" s="20" t="str">
        <x:v>None for this variable in the latest document. This variable/source use is not assigned in the latest Additional Variables document; it is retained from an earlier tracker/method or the repository's existing contract.</x:v>
      </x:c>
      <x:c r="K16" s="20" t="str">
        <x:v>Provider-reported year-over-year change in rolling-three-month new listings. Used for the existing Redfin postal-ZIP field. The current fact rows have blank source_id values, but config/catalog/raw lineage identifies redfin_zip_monthly; this lineage defect is disclosed rather than hidden.</x:v>
      </x:c>
      <x:c r="L16" s="20" t="str">
        <x:v>postal_zip 2019-06-30 to 2026-05-31: 19668/23009 non-null across 274 geographies; 3341 source/method null rows</x:v>
      </x:c>
      <x:c r="M16" s="20" t="str">
        <x:v>None beyond source-specific refresh and QA.</x:v>
      </x:c>
      <x:c r="N16" s="20" t="str">
        <x:v>Outside the seven source-scoped groups in Sections 3-9.</x:v>
      </x:c>
    </x:row>
    <x:row r="17" ht="82" customHeight="1">
      <x:c r="A17" s="21" t="n">
        <x:v>13</x:v>
      </x:c>
      <x:c r="B17" s="21" t="str">
        <x:v>General</x:v>
      </x:c>
      <x:c r="C17" s="21" t="str">
        <x:v>redfin_zip_active_listings_yoy_pct_provider_rolling_3m</x:v>
      </x:c>
      <x:c r="D17" s="21" t="str">
        <x:v>Redfin ZIP active listings provider YoY - rolling 3 months</x:v>
      </x:c>
      <x:c r="E17" s="29" t="str">
        <x:v>Have</x:v>
      </x:c>
      <x:c r="F17" s="29" t="str">
        <x:v>Have</x:v>
      </x:c>
      <x:c r="G17" s="21" t="str">
        <x:v>redfin_zip_monthly (Redfin Data Center)</x:v>
      </x:c>
      <x:c r="H17" s="21" t="str">
        <x:v>Redfin Data Center</x:v>
      </x:c>
      <x:c r="I17" s="33" t="str">
        <x:v>No</x:v>
      </x:c>
      <x:c r="J17" s="21" t="str">
        <x:v>None for this variable in the latest document. This variable/source use is not assigned in the latest Additional Variables document; it is retained from an earlier tracker/method or the repository's existing contract.</x:v>
      </x:c>
      <x:c r="K17" s="21" t="str">
        <x:v>Provider-reported year-over-year change in rolling-three-month active listings. Used for the existing Redfin postal-ZIP field. The current fact rows have blank source_id values, but config/catalog/raw lineage identifies redfin_zip_monthly; this lineage defect is disclosed rather than hidden.</x:v>
      </x:c>
      <x:c r="L17" s="21" t="str">
        <x:v>postal_zip 2019-06-30 to 2026-05-31: 19716/23009 non-null across 274 geographies; 3293 source/method null rows</x:v>
      </x:c>
      <x:c r="M17" s="21" t="str">
        <x:v>None beyond source-specific refresh and QA.</x:v>
      </x:c>
      <x:c r="N17" s="21" t="str">
        <x:v>Outside the seven source-scoped groups in Sections 3-9.</x:v>
      </x:c>
    </x:row>
    <x:row r="18" ht="82" customHeight="1">
      <x:c r="A18" s="20" t="n">
        <x:v>14</x:v>
      </x:c>
      <x:c r="B18" s="20" t="str">
        <x:v>General</x:v>
      </x:c>
      <x:c r="C18" s="20" t="str">
        <x:v>redfin_zip_pending_sales_yoy_pct_provider_rolling_3m</x:v>
      </x:c>
      <x:c r="D18" s="20" t="str">
        <x:v>Redfin ZIP pending sales provider YoY - rolling 3 months</x:v>
      </x:c>
      <x:c r="E18" s="29" t="str">
        <x:v>Have</x:v>
      </x:c>
      <x:c r="F18" s="29" t="str">
        <x:v>Have</x:v>
      </x:c>
      <x:c r="G18" s="20" t="str">
        <x:v>redfin_zip_monthly (Redfin Data Center)</x:v>
      </x:c>
      <x:c r="H18" s="20" t="str">
        <x:v>Redfin Data Center</x:v>
      </x:c>
      <x:c r="I18" s="33" t="str">
        <x:v>No</x:v>
      </x:c>
      <x:c r="J18" s="20" t="str">
        <x:v>None for this variable in the latest document. This variable/source use is not assigned in the latest Additional Variables document; it is retained from an earlier tracker/method or the repository's existing contract.</x:v>
      </x:c>
      <x:c r="K18" s="20" t="str">
        <x:v>Provider-reported year-over-year change in rolling-three-month pending sales. Used for the existing Redfin postal-ZIP field. The current fact rows have blank source_id values, but config/catalog/raw lineage identifies redfin_zip_monthly; this lineage defect is disclosed rather than hidden.</x:v>
      </x:c>
      <x:c r="L18" s="20" t="str">
        <x:v>postal_zip 2019-06-30 to 2026-05-31: 19650/23009 non-null across 274 geographies; 3359 source/method null rows</x:v>
      </x:c>
      <x:c r="M18" s="20" t="str">
        <x:v>None beyond source-specific refresh and QA.</x:v>
      </x:c>
      <x:c r="N18" s="20" t="str">
        <x:v>Outside the seven source-scoped groups in Sections 3-9.</x:v>
      </x:c>
    </x:row>
    <x:row r="19" ht="82" customHeight="1">
      <x:c r="A19" s="21" t="n">
        <x:v>15</x:v>
      </x:c>
      <x:c r="B19" s="21" t="str">
        <x:v>General</x:v>
      </x:c>
      <x:c r="C19" s="21" t="str">
        <x:v>median_sale_price</x:v>
      </x:c>
      <x:c r="D19" s="21" t="str">
        <x:v>Median sale price</x:v>
      </x:c>
      <x:c r="E19" s="29" t="str">
        <x:v>Have</x:v>
      </x:c>
      <x:c r="F19" s="29" t="str">
        <x:v>Have</x:v>
      </x:c>
      <x:c r="G19" s="21" t="str">
        <x:v>redfin_county_monthly (Redfin Data Center)</x:v>
      </x:c>
      <x:c r="H19" s="21" t="str">
        <x:v>Redfin Data Center</x:v>
      </x:c>
      <x:c r="I19" s="29" t="str">
        <x:v>Yes</x:v>
      </x:c>
      <x:c r="J19" s="21" t="str">
        <x:v>Redfin median sale price. Explicit Redfin median-sale-price input to closing-cost scenarios.</x:v>
      </x:c>
      <x:c r="K19" s="21" t="str">
        <x:v>Median closed-sale price. Used within the latest document's stated variable-specific role and limitations.</x:v>
      </x:c>
      <x:c r="L19" s="21" t="str">
        <x:v>county 2012-01-31 to 2026-05-31: 173/173 non-null across 1 geographies</x:v>
      </x:c>
      <x:c r="M19" s="21" t="str">
        <x:v>None beyond source-specific refresh and QA.</x:v>
      </x:c>
      <x:c r="N19" s="21" t="str">
        <x:v>Section 3 construction item 1 and status-summary closing-cost row.</x:v>
      </x:c>
    </x:row>
    <x:row r="20" ht="82" customHeight="1">
      <x:c r="A20" s="20" t="n">
        <x:v>16</x:v>
      </x:c>
      <x:c r="B20" s="20" t="str">
        <x:v>General</x:v>
      </x:c>
      <x:c r="C20" s="20" t="str">
        <x:v>homes_sold</x:v>
      </x:c>
      <x:c r="D20" s="20" t="str">
        <x:v>Homes sold</x:v>
      </x:c>
      <x:c r="E20" s="29" t="str">
        <x:v>Have</x:v>
      </x:c>
      <x:c r="F20" s="29" t="str">
        <x:v>Have</x:v>
      </x:c>
      <x:c r="G20" s="20" t="str">
        <x:v>redfin_county_monthly (Redfin Data Center)</x:v>
      </x:c>
      <x:c r="H20" s="20" t="str">
        <x:v>Redfin Data Center</x:v>
      </x:c>
      <x:c r="I20" s="33" t="str">
        <x:v>No</x:v>
      </x:c>
      <x:c r="J20" s="20" t="str">
        <x:v>None for this variable in the latest document. This variable/source use is not assigned in the latest Additional Variables document; it is retained from an earlier tracker/method or the repository's existing contract.</x:v>
      </x:c>
      <x:c r="K20" s="20" t="str">
        <x:v>Used for the existing earlier-scope repository variable 'Homes sold': Closed home sales. It is retained for prior requirements and is not evidence of latest-document source compliance.</x:v>
      </x:c>
      <x:c r="L20" s="20" t="str">
        <x:v>county 2012-01-31 to 2026-05-31: 173/173 non-null across 1 geographies</x:v>
      </x:c>
      <x:c r="M20" s="20" t="str">
        <x:v>None beyond source-specific refresh and QA.</x:v>
      </x:c>
      <x:c r="N20" s="20" t="str">
        <x:v>Outside the seven source-scoped groups in Sections 3-9.</x:v>
      </x:c>
    </x:row>
    <x:row r="21" ht="82" customHeight="1">
      <x:c r="A21" s="21" t="n">
        <x:v>17</x:v>
      </x:c>
      <x:c r="B21" s="21" t="str">
        <x:v>General</x:v>
      </x:c>
      <x:c r="C21" s="21" t="str">
        <x:v>active_inventory</x:v>
      </x:c>
      <x:c r="D21" s="21" t="str">
        <x:v>Active inventory</x:v>
      </x:c>
      <x:c r="E21" s="29" t="str">
        <x:v>Have</x:v>
      </x:c>
      <x:c r="F21" s="29" t="str">
        <x:v>Have</x:v>
      </x:c>
      <x:c r="G21" s="21" t="str">
        <x:v>redfin_county_monthly (Redfin Data Center)</x:v>
      </x:c>
      <x:c r="H21" s="21" t="str">
        <x:v>Redfin Data Center</x:v>
      </x:c>
      <x:c r="I21" s="33" t="str">
        <x:v>No</x:v>
      </x:c>
      <x:c r="J21" s="21" t="str">
        <x:v>None for this variable in the latest document. This variable/source use is not assigned in the latest Additional Variables document; it is retained from an earlier tracker/method or the repository's existing contract.</x:v>
      </x:c>
      <x:c r="K21" s="21" t="str">
        <x:v>Used for the existing earlier-scope repository variable 'Active inventory': Provider inventory metric. It is retained for prior requirements and is not evidence of latest-document source compliance.</x:v>
      </x:c>
      <x:c r="L21" s="21" t="str">
        <x:v>county 2012-01-31 to 2026-05-31: 173/173 non-null across 1 geographies</x:v>
      </x:c>
      <x:c r="M21" s="21" t="str">
        <x:v>None beyond source-specific refresh and QA.</x:v>
      </x:c>
      <x:c r="N21" s="21" t="str">
        <x:v>Outside the seven source-scoped groups in Sections 3-9.</x:v>
      </x:c>
    </x:row>
    <x:row r="22" ht="82" customHeight="1">
      <x:c r="A22" s="20" t="n">
        <x:v>18</x:v>
      </x:c>
      <x:c r="B22" s="20" t="str">
        <x:v>General</x:v>
      </x:c>
      <x:c r="C22" s="20" t="str">
        <x:v>new_listings</x:v>
      </x:c>
      <x:c r="D22" s="20" t="str">
        <x:v>New listings</x:v>
      </x:c>
      <x:c r="E22" s="29" t="str">
        <x:v>Have</x:v>
      </x:c>
      <x:c r="F22" s="29" t="str">
        <x:v>Have</x:v>
      </x:c>
      <x:c r="G22" s="20" t="str">
        <x:v>redfin_county_monthly (Redfin Data Center)</x:v>
      </x:c>
      <x:c r="H22" s="20" t="str">
        <x:v>Redfin Data Center</x:v>
      </x:c>
      <x:c r="I22" s="33" t="str">
        <x:v>No</x:v>
      </x:c>
      <x:c r="J22" s="20" t="str">
        <x:v>None for this variable in the latest document. This variable/source use is not assigned in the latest Additional Variables document; it is retained from an earlier tracker/method or the repository's existing contract.</x:v>
      </x:c>
      <x:c r="K22" s="20" t="str">
        <x:v>Used for the existing earlier-scope repository variable 'New listings': Newly listed homes. It is retained for prior requirements and is not evidence of latest-document source compliance.</x:v>
      </x:c>
      <x:c r="L22" s="20" t="str">
        <x:v>county 2012-01-31 to 2026-05-31: 173/173 non-null across 1 geographies</x:v>
      </x:c>
      <x:c r="M22" s="20" t="str">
        <x:v>None beyond source-specific refresh and QA.</x:v>
      </x:c>
      <x:c r="N22" s="20" t="str">
        <x:v>Outside the seven source-scoped groups in Sections 3-9.</x:v>
      </x:c>
    </x:row>
    <x:row r="23" ht="82" customHeight="1">
      <x:c r="A23" s="21" t="n">
        <x:v>19</x:v>
      </x:c>
      <x:c r="B23" s="21" t="str">
        <x:v>General</x:v>
      </x:c>
      <x:c r="C23" s="21" t="str">
        <x:v>pending_sales</x:v>
      </x:c>
      <x:c r="D23" s="21" t="str">
        <x:v>Pending sales</x:v>
      </x:c>
      <x:c r="E23" s="29" t="str">
        <x:v>Have</x:v>
      </x:c>
      <x:c r="F23" s="29" t="str">
        <x:v>Have</x:v>
      </x:c>
      <x:c r="G23" s="21" t="str">
        <x:v>redfin_county_monthly (Redfin Data Center)</x:v>
      </x:c>
      <x:c r="H23" s="21" t="str">
        <x:v>Redfin Data Center</x:v>
      </x:c>
      <x:c r="I23" s="33" t="str">
        <x:v>No</x:v>
      </x:c>
      <x:c r="J23" s="21" t="str">
        <x:v>None for this variable in the latest document. This variable/source use is not assigned in the latest Additional Variables document; it is retained from an earlier tracker/method or the repository's existing contract.</x:v>
      </x:c>
      <x:c r="K23" s="21" t="str">
        <x:v>Used for the existing earlier-scope repository variable 'Pending sales': Homes going pending. It is retained for prior requirements and is not evidence of latest-document source compliance.</x:v>
      </x:c>
      <x:c r="L23" s="21" t="str">
        <x:v>county 2012-01-31 to 2026-05-31: 173/173 non-null across 1 geographies</x:v>
      </x:c>
      <x:c r="M23" s="21" t="str">
        <x:v>None beyond source-specific refresh and QA.</x:v>
      </x:c>
      <x:c r="N23" s="21" t="str">
        <x:v>Outside the seven source-scoped groups in Sections 3-9.</x:v>
      </x:c>
    </x:row>
    <x:row r="24" ht="82" customHeight="1">
      <x:c r="A24" s="20" t="n">
        <x:v>20</x:v>
      </x:c>
      <x:c r="B24" s="20" t="str">
        <x:v>General</x:v>
      </x:c>
      <x:c r="C24" s="20" t="str">
        <x:v>months_of_supply</x:v>
      </x:c>
      <x:c r="D24" s="20" t="str">
        <x:v>Months of supply</x:v>
      </x:c>
      <x:c r="E24" s="29" t="str">
        <x:v>Have</x:v>
      </x:c>
      <x:c r="F24" s="29" t="str">
        <x:v>Have</x:v>
      </x:c>
      <x:c r="G24" s="20" t="str">
        <x:v>redfin_county_monthly (Redfin Data Center)</x:v>
      </x:c>
      <x:c r="H24" s="20" t="str">
        <x:v>Redfin Data Center</x:v>
      </x:c>
      <x:c r="I24" s="33" t="str">
        <x:v>No</x:v>
      </x:c>
      <x:c r="J24" s="20" t="str">
        <x:v>None for this variable in the latest document. This variable/source use is not assigned in the latest Additional Variables document; it is retained from an earlier tracker/method or the repository's existing contract.</x:v>
      </x:c>
      <x:c r="K24" s="20" t="str">
        <x:v>Used for the existing earlier-scope repository variable 'Months of supply': Inventory relative to sales pace. It is retained for prior requirements and is not evidence of latest-document source compliance.</x:v>
      </x:c>
      <x:c r="L24" s="20" t="str">
        <x:v>county 2012-01-31 to 2026-05-31: 173/173 non-null across 1 geographies</x:v>
      </x:c>
      <x:c r="M24" s="20" t="str">
        <x:v>None beyond source-specific refresh and QA.</x:v>
      </x:c>
      <x:c r="N24" s="20" t="str">
        <x:v>Outside the seven source-scoped groups in Sections 3-9.</x:v>
      </x:c>
    </x:row>
    <x:row r="25" ht="82" customHeight="1">
      <x:c r="A25" s="21" t="n">
        <x:v>21</x:v>
      </x:c>
      <x:c r="B25" s="21" t="str">
        <x:v>General</x:v>
      </x:c>
      <x:c r="C25" s="21" t="str">
        <x:v>days_on_market</x:v>
      </x:c>
      <x:c r="D25" s="21" t="str">
        <x:v>Median days on market</x:v>
      </x:c>
      <x:c r="E25" s="29" t="str">
        <x:v>Have</x:v>
      </x:c>
      <x:c r="F25" s="29" t="str">
        <x:v>Have</x:v>
      </x:c>
      <x:c r="G25" s="21" t="str">
        <x:v>redfin_county_monthly (Redfin Data Center)</x:v>
      </x:c>
      <x:c r="H25" s="21" t="str">
        <x:v>Redfin Data Center</x:v>
      </x:c>
      <x:c r="I25" s="33" t="str">
        <x:v>No</x:v>
      </x:c>
      <x:c r="J25" s="21" t="str">
        <x:v>None for this variable in the latest document. This variable/source use is not assigned in the latest Additional Variables document; it is retained from an earlier tracker/method or the repository's existing contract.</x:v>
      </x:c>
      <x:c r="K25" s="21" t="str">
        <x:v>Used for the existing earlier-scope repository variable 'Median days on market': Median days from listing to contract. It is retained for prior requirements and is not evidence of latest-document source compliance.</x:v>
      </x:c>
      <x:c r="L25" s="21" t="str">
        <x:v>county 2012-01-31 to 2026-05-31: 173/173 non-null across 1 geographies</x:v>
      </x:c>
      <x:c r="M25" s="21" t="str">
        <x:v>None beyond source-specific refresh and QA.</x:v>
      </x:c>
      <x:c r="N25" s="21" t="str">
        <x:v>Outside the seven source-scoped groups in Sections 3-9.</x:v>
      </x:c>
    </x:row>
    <x:row r="26" ht="82" customHeight="1">
      <x:c r="A26" s="20" t="n">
        <x:v>22</x:v>
      </x:c>
      <x:c r="B26" s="20" t="str">
        <x:v>General</x:v>
      </x:c>
      <x:c r="C26" s="20" t="str">
        <x:v>price_drop_share</x:v>
      </x:c>
      <x:c r="D26" s="20" t="str">
        <x:v>Share with price drops</x:v>
      </x:c>
      <x:c r="E26" s="29" t="str">
        <x:v>Have</x:v>
      </x:c>
      <x:c r="F26" s="29" t="str">
        <x:v>Have</x:v>
      </x:c>
      <x:c r="G26" s="20" t="str">
        <x:v>redfin_county_monthly (Redfin Data Center)</x:v>
      </x:c>
      <x:c r="H26" s="20" t="str">
        <x:v>Redfin Data Center</x:v>
      </x:c>
      <x:c r="I26" s="33" t="str">
        <x:v>No</x:v>
      </x:c>
      <x:c r="J26" s="20" t="str">
        <x:v>None for this variable in the latest document. This variable/source use is not assigned in the latest Additional Variables document; it is retained from an earlier tracker/method or the repository's existing contract.</x:v>
      </x:c>
      <x:c r="K26" s="20" t="str">
        <x:v>Used for the existing earlier-scope repository variable 'Share with price drops': Share of active listings with a price drop. It is retained for prior requirements and is not evidence of latest-document source compliance.</x:v>
      </x:c>
      <x:c r="L26" s="20" t="str">
        <x:v>county 2012-01-31 to 2026-05-31: 172/173 non-null across 1 geographies; 1 source/method null rows</x:v>
      </x:c>
      <x:c r="M26" s="20" t="str">
        <x:v>None beyond source-specific refresh and QA.</x:v>
      </x:c>
      <x:c r="N26" s="20" t="str">
        <x:v>Outside the seven source-scoped groups in Sections 3-9.</x:v>
      </x:c>
    </x:row>
    <x:row r="27" ht="82" customHeight="1">
      <x:c r="A27" s="21" t="n">
        <x:v>23</x:v>
      </x:c>
      <x:c r="B27" s="21" t="str">
        <x:v>General</x:v>
      </x:c>
      <x:c r="C27" s="21" t="str">
        <x:v>sale_to_list_ratio</x:v>
      </x:c>
      <x:c r="D27" s="21" t="str">
        <x:v>Average sale-to-list ratio</x:v>
      </x:c>
      <x:c r="E27" s="29" t="str">
        <x:v>Have</x:v>
      </x:c>
      <x:c r="F27" s="29" t="str">
        <x:v>Have</x:v>
      </x:c>
      <x:c r="G27" s="21" t="str">
        <x:v>redfin_county_monthly (Redfin Data Center)</x:v>
      </x:c>
      <x:c r="H27" s="21" t="str">
        <x:v>Redfin Data Center</x:v>
      </x:c>
      <x:c r="I27" s="33" t="str">
        <x:v>No</x:v>
      </x:c>
      <x:c r="J27" s="21" t="str">
        <x:v>None for this variable in the latest document. This variable/source use is not assigned in the latest Additional Variables document; it is retained from an earlier tracker/method or the repository's existing contract.</x:v>
      </x:c>
      <x:c r="K27" s="21" t="str">
        <x:v>Used for the existing earlier-scope repository variable 'Average sale-to-list ratio': Sale price divided by list price. It is retained for prior requirements and is not evidence of latest-document source compliance.</x:v>
      </x:c>
      <x:c r="L27" s="21" t="str">
        <x:v>county 2012-01-31 to 2026-05-31: 173/173 non-null across 1 geographies</x:v>
      </x:c>
      <x:c r="M27" s="21" t="str">
        <x:v>None beyond source-specific refresh and QA.</x:v>
      </x:c>
      <x:c r="N27" s="21" t="str">
        <x:v>Outside the seven source-scoped groups in Sections 3-9.</x:v>
      </x:c>
    </x:row>
    <x:row r="28" ht="82" customHeight="1">
      <x:c r="A28" s="20" t="n">
        <x:v>24</x:v>
      </x:c>
      <x:c r="B28" s="20" t="str">
        <x:v>General</x:v>
      </x:c>
      <x:c r="C28" s="20" t="str">
        <x:v>unemployment_rate</x:v>
      </x:c>
      <x:c r="D28" s="20" t="str">
        <x:v>Unemployment rate</x:v>
      </x:c>
      <x:c r="E28" s="29" t="str">
        <x:v>Have</x:v>
      </x:c>
      <x:c r="F28" s="29" t="str">
        <x:v>Have</x:v>
      </x:c>
      <x:c r="G28" s="20" t="str">
        <x:v>bls_laus_la_county (U.S. Bureau of Labor Statistics)</x:v>
      </x:c>
      <x:c r="H28" s="20" t="str">
        <x:v>U.S. Bureau of Labor Statistics</x:v>
      </x:c>
      <x:c r="I28" s="33" t="str">
        <x:v>No</x:v>
      </x:c>
      <x:c r="J28" s="20" t="str">
        <x:v>None for this variable in the latest document. This variable/source use is not assigned in the latest Additional Variables document; it is retained from an earlier tracker/method or the repository's existing contract.</x:v>
      </x:c>
      <x:c r="K28" s="20" t="str">
        <x:v>Used for the existing earlier-scope repository variable 'Unemployment rate': Unemployed share of civilian labor force. It is retained for prior requirements and is not evidence of latest-document source compliance.</x:v>
      </x:c>
      <x:c r="L28" s="20" t="str">
        <x:v>county 1990-01-31 to 2026-05-31: 436/437 non-null across 1 geographies; 1 source/method null rows</x:v>
      </x:c>
      <x:c r="M28" s="20" t="str">
        <x:v>None beyond source-specific refresh and QA.</x:v>
      </x:c>
      <x:c r="N28" s="20" t="str">
        <x:v>Outside the seven source-scoped groups in Sections 3-9.</x:v>
      </x:c>
    </x:row>
    <x:row r="29" ht="82" customHeight="1">
      <x:c r="A29" s="21" t="n">
        <x:v>25</x:v>
      </x:c>
      <x:c r="B29" s="21" t="str">
        <x:v>General</x:v>
      </x:c>
      <x:c r="C29" s="21" t="str">
        <x:v>unemployment</x:v>
      </x:c>
      <x:c r="D29" s="21" t="str">
        <x:v>Unemployed persons</x:v>
      </x:c>
      <x:c r="E29" s="29" t="str">
        <x:v>Have</x:v>
      </x:c>
      <x:c r="F29" s="29" t="str">
        <x:v>Have</x:v>
      </x:c>
      <x:c r="G29" s="21" t="str">
        <x:v>bls_laus_la_county (U.S. Bureau of Labor Statistics)</x:v>
      </x:c>
      <x:c r="H29" s="21" t="str">
        <x:v>U.S. Bureau of Labor Statistics</x:v>
      </x:c>
      <x:c r="I29" s="33" t="str">
        <x:v>No</x:v>
      </x:c>
      <x:c r="J29" s="21" t="str">
        <x:v>None for this variable in the latest document. This variable/source use is not assigned in the latest Additional Variables document; it is retained from an earlier tracker/method or the repository's existing contract.</x:v>
      </x:c>
      <x:c r="K29" s="21" t="str">
        <x:v>Used for the existing earlier-scope repository variable 'Unemployed persons': Number unemployed in the civilian labor force. It is retained for prior requirements and is not evidence of latest-document source compliance.</x:v>
      </x:c>
      <x:c r="L29" s="21" t="str">
        <x:v>county 1990-01-31 to 2026-05-31: 436/437 non-null across 1 geographies; 1 source/method null rows</x:v>
      </x:c>
      <x:c r="M29" s="21" t="str">
        <x:v>None beyond source-specific refresh and QA.</x:v>
      </x:c>
      <x:c r="N29" s="21" t="str">
        <x:v>Outside the seven source-scoped groups in Sections 3-9.</x:v>
      </x:c>
    </x:row>
    <x:row r="30" ht="82" customHeight="1">
      <x:c r="A30" s="20" t="n">
        <x:v>26</x:v>
      </x:c>
      <x:c r="B30" s="20" t="str">
        <x:v>General</x:v>
      </x:c>
      <x:c r="C30" s="20" t="str">
        <x:v>employment</x:v>
      </x:c>
      <x:c r="D30" s="20" t="str">
        <x:v>Employed persons</x:v>
      </x:c>
      <x:c r="E30" s="29" t="str">
        <x:v>Have</x:v>
      </x:c>
      <x:c r="F30" s="29" t="str">
        <x:v>Have</x:v>
      </x:c>
      <x:c r="G30" s="20" t="str">
        <x:v>bls_laus_la_county (U.S. Bureau of Labor Statistics)</x:v>
      </x:c>
      <x:c r="H30" s="20" t="str">
        <x:v>U.S. Bureau of Labor Statistics</x:v>
      </x:c>
      <x:c r="I30" s="33" t="str">
        <x:v>No</x:v>
      </x:c>
      <x:c r="J30" s="20" t="str">
        <x:v>None for this variable in the latest document. This variable/source use is not assigned in the latest Additional Variables document; it is retained from an earlier tracker/method or the repository's existing contract.</x:v>
      </x:c>
      <x:c r="K30" s="20" t="str">
        <x:v>Used for the existing earlier-scope repository variable 'Employed persons': Number employed. It is retained for prior requirements and is not evidence of latest-document source compliance.</x:v>
      </x:c>
      <x:c r="L30" s="20" t="str">
        <x:v>county 1990-01-31 to 2026-05-31: 436/437 non-null across 1 geographies; 1 source/method null rows</x:v>
      </x:c>
      <x:c r="M30" s="20" t="str">
        <x:v>None beyond source-specific refresh and QA.</x:v>
      </x:c>
      <x:c r="N30" s="20" t="str">
        <x:v>Outside the seven source-scoped groups in Sections 3-9.</x:v>
      </x:c>
    </x:row>
    <x:row r="31" ht="82" customHeight="1">
      <x:c r="A31" s="21" t="n">
        <x:v>27</x:v>
      </x:c>
      <x:c r="B31" s="21" t="str">
        <x:v>General</x:v>
      </x:c>
      <x:c r="C31" s="21" t="str">
        <x:v>labor_force</x:v>
      </x:c>
      <x:c r="D31" s="21" t="str">
        <x:v>Civilian labor force</x:v>
      </x:c>
      <x:c r="E31" s="29" t="str">
        <x:v>Have</x:v>
      </x:c>
      <x:c r="F31" s="29" t="str">
        <x:v>Have</x:v>
      </x:c>
      <x:c r="G31" s="21" t="str">
        <x:v>bls_laus_la_county (U.S. Bureau of Labor Statistics)</x:v>
      </x:c>
      <x:c r="H31" s="21" t="str">
        <x:v>U.S. Bureau of Labor Statistics</x:v>
      </x:c>
      <x:c r="I31" s="33" t="str">
        <x:v>No</x:v>
      </x:c>
      <x:c r="J31" s="21" t="str">
        <x:v>None for this variable in the latest document. This variable/source use is not assigned in the latest Additional Variables document; it is retained from an earlier tracker/method or the repository's existing contract.</x:v>
      </x:c>
      <x:c r="K31" s="21" t="str">
        <x:v>Used for the existing earlier-scope repository variable 'Civilian labor force': Employed plus unemployed persons. It is retained for prior requirements and is not evidence of latest-document source compliance.</x:v>
      </x:c>
      <x:c r="L31" s="21" t="str">
        <x:v>county 1990-01-31 to 2026-05-31: 436/437 non-null across 1 geographies; 1 source/method null rows</x:v>
      </x:c>
      <x:c r="M31" s="21" t="str">
        <x:v>None beyond source-specific refresh and QA.</x:v>
      </x:c>
      <x:c r="N31" s="21" t="str">
        <x:v>Outside the seven source-scoped groups in Sections 3-9.</x:v>
      </x:c>
    </x:row>
    <x:row r="32" ht="82" customHeight="1">
      <x:c r="A32" s="20" t="n">
        <x:v>28</x:v>
      </x:c>
      <x:c r="B32" s="20" t="str">
        <x:v>General</x:v>
      </x:c>
      <x:c r="C32" s="20" t="str">
        <x:v>mortgage_rate_30y_weekly</x:v>
      </x:c>
      <x:c r="D32" s="20" t="str">
        <x:v>30-year fixed mortgage rate weekly</x:v>
      </x:c>
      <x:c r="E32" s="29" t="str">
        <x:v>Have</x:v>
      </x:c>
      <x:c r="F32" s="29" t="str">
        <x:v>Have</x:v>
      </x:c>
      <x:c r="G32" s="20" t="str">
        <x:v>freddie_mac_pmms (Freddie Mac)</x:v>
      </x:c>
      <x:c r="H32" s="20" t="str">
        <x:v>Freddie Mac</x:v>
      </x:c>
      <x:c r="I32" s="33" t="str">
        <x:v>No</x:v>
      </x:c>
      <x:c r="J32" s="20" t="str">
        <x:v>None for this variable in the latest document. This variable/source use is not assigned in the latest Additional Variables document; it is retained from an earlier tracker/method or the repository's existing contract.</x:v>
      </x:c>
      <x:c r="K32" s="20" t="str">
        <x:v>Used for the existing earlier-scope repository variable '30-year fixed mortgage rate weekly': U.S. weekly PMMS average. It is retained for prior requirements and is not evidence of latest-document source compliance.</x:v>
      </x:c>
      <x:c r="L32" s="20" t="str">
        <x:v>national 1971-04-02 to 2026-06-25: 2883/2883 non-null across 1 geographies</x:v>
      </x:c>
      <x:c r="M32" s="20" t="str">
        <x:v>None beyond source-specific refresh and QA.</x:v>
      </x:c>
      <x:c r="N32" s="20" t="str">
        <x:v>Outside the seven source-scoped groups in Sections 3-9.</x:v>
      </x:c>
    </x:row>
    <x:row r="33" ht="82" customHeight="1">
      <x:c r="A33" s="21" t="n">
        <x:v>29</x:v>
      </x:c>
      <x:c r="B33" s="21" t="str">
        <x:v>General</x:v>
      </x:c>
      <x:c r="C33" s="21" t="str">
        <x:v>mortgage_rate_30y_monthly_average</x:v>
      </x:c>
      <x:c r="D33" s="21" t="str">
        <x:v>30-year fixed mortgage rate monthly average</x:v>
      </x:c>
      <x:c r="E33" s="29" t="str">
        <x:v>Have</x:v>
      </x:c>
      <x:c r="F33" s="29" t="str">
        <x:v>Have</x:v>
      </x:c>
      <x:c r="G33" s="21" t="str">
        <x:v>freddie_mac_pmms (Freddie Mac)</x:v>
      </x:c>
      <x:c r="H33" s="21" t="str">
        <x:v>Freddie Mac</x:v>
      </x:c>
      <x:c r="I33" s="33" t="str">
        <x:v>No</x:v>
      </x:c>
      <x:c r="J33" s="21" t="str">
        <x:v>None for this variable in the latest document. This variable/source use is not assigned in the latest Additional Variables document; it is retained from an earlier tracker/method or the repository's existing contract.</x:v>
      </x:c>
      <x:c r="K33" s="21" t="str">
        <x:v>Used for the existing earlier-scope repository variable '30-year fixed mortgage rate monthly average': Arithmetic average of weekly PMMS observations in a calendar month. It is retained for prior requirements and is not evidence of latest-document source compliance.</x:v>
      </x:c>
      <x:c r="L33" s="21" t="str">
        <x:v>national 1971-04-30 to 2026-06-30: 663/663 non-null across 1 geographies</x:v>
      </x:c>
      <x:c r="M33" s="21" t="str">
        <x:v>None beyond source-specific refresh and QA.</x:v>
      </x:c>
      <x:c r="N33" s="21" t="str">
        <x:v>Outside the seven source-scoped groups in Sections 3-9.</x:v>
      </x:c>
    </x:row>
    <x:row r="34" ht="82" customHeight="1">
      <x:c r="A34" s="20" t="n">
        <x:v>30</x:v>
      </x:c>
      <x:c r="B34" s="20" t="str">
        <x:v>General</x:v>
      </x:c>
      <x:c r="C34" s="20" t="str">
        <x:v>mortgage_rate_30y_monthly_median</x:v>
      </x:c>
      <x:c r="D34" s="20" t="str">
        <x:v>30-year fixed mortgage rate monthly median</x:v>
      </x:c>
      <x:c r="E34" s="29" t="str">
        <x:v>Have</x:v>
      </x:c>
      <x:c r="F34" s="29" t="str">
        <x:v>Have</x:v>
      </x:c>
      <x:c r="G34" s="20" t="str">
        <x:v>freddie_mac_pmms (Freddie Mac)</x:v>
      </x:c>
      <x:c r="H34" s="20" t="str">
        <x:v>Freddie Mac</x:v>
      </x:c>
      <x:c r="I34" s="33" t="str">
        <x:v>No</x:v>
      </x:c>
      <x:c r="J34" s="20" t="str">
        <x:v>None for this variable in the latest document. This variable/source use is not assigned in the latest Additional Variables document; it is retained from an earlier tracker/method or the repository's existing contract.</x:v>
      </x:c>
      <x:c r="K34" s="20" t="str">
        <x:v>Used for the existing earlier-scope repository variable '30-year fixed mortgage rate monthly median': Median of weekly Freddie Mac PMMS 30-year fixed-rate observations dated inside a calendar month.. It is retained for prior requirements and is not evidence of latest-document source compliance.</x:v>
      </x:c>
      <x:c r="L34" s="20" t="str">
        <x:v>national 1971-04-30 to 2026-06-30: 663/663 non-null across 1 geographies</x:v>
      </x:c>
      <x:c r="M34" s="20" t="str">
        <x:v>None beyond source-specific refresh and QA.</x:v>
      </x:c>
      <x:c r="N34" s="20" t="str">
        <x:v>Outside the seven source-scoped groups in Sections 3-9.</x:v>
      </x:c>
    </x:row>
    <x:row r="35" ht="82" customHeight="1">
      <x:c r="A35" s="21" t="n">
        <x:v>31</x:v>
      </x:c>
      <x:c r="B35" s="21" t="str">
        <x:v>General</x:v>
      </x:c>
      <x:c r="C35" s="21" t="str">
        <x:v>mortgage_rate_30y_month_end</x:v>
      </x:c>
      <x:c r="D35" s="21" t="str">
        <x:v>30-year fixed mortgage rate month end</x:v>
      </x:c>
      <x:c r="E35" s="29" t="str">
        <x:v>Have</x:v>
      </x:c>
      <x:c r="F35" s="29" t="str">
        <x:v>Have</x:v>
      </x:c>
      <x:c r="G35" s="21" t="str">
        <x:v>freddie_mac_pmms (Freddie Mac)</x:v>
      </x:c>
      <x:c r="H35" s="21" t="str">
        <x:v>Freddie Mac</x:v>
      </x:c>
      <x:c r="I35" s="33" t="str">
        <x:v>No</x:v>
      </x:c>
      <x:c r="J35" s="21" t="str">
        <x:v>None for this variable in the latest document. This variable/source use is not assigned in the latest Additional Variables document; it is retained from an earlier tracker/method or the repository's existing contract.</x:v>
      </x:c>
      <x:c r="K35" s="21" t="str">
        <x:v>Used for the existing earlier-scope repository variable '30-year fixed mortgage rate month end': Last weekly PMMS observation in a calendar month. It is retained for prior requirements and is not evidence of latest-document source compliance.</x:v>
      </x:c>
      <x:c r="L35" s="21" t="str">
        <x:v>national 1971-04-30 to 2026-06-30: 663/663 non-null across 1 geographies</x:v>
      </x:c>
      <x:c r="M35" s="21" t="str">
        <x:v>None beyond source-specific refresh and QA.</x:v>
      </x:c>
      <x:c r="N35" s="21" t="str">
        <x:v>Outside the seven source-scoped groups in Sections 3-9.</x:v>
      </x:c>
    </x:row>
    <x:row r="36" ht="82" customHeight="1">
      <x:c r="A36" s="20" t="n">
        <x:v>32</x:v>
      </x:c>
      <x:c r="B36" s="20" t="str">
        <x:v>General</x:v>
      </x:c>
      <x:c r="C36" s="20" t="str">
        <x:v>mortgage_rate_30y_observation_count</x:v>
      </x:c>
      <x:c r="D36" s="20" t="str">
        <x:v>30-year fixed mortgage rate monthly observation count</x:v>
      </x:c>
      <x:c r="E36" s="29" t="str">
        <x:v>Have</x:v>
      </x:c>
      <x:c r="F36" s="29" t="str">
        <x:v>Have</x:v>
      </x:c>
      <x:c r="G36" s="20" t="str">
        <x:v>freddie_mac_pmms (Freddie Mac)</x:v>
      </x:c>
      <x:c r="H36" s="20" t="str">
        <x:v>Freddie Mac</x:v>
      </x:c>
      <x:c r="I36" s="33" t="str">
        <x:v>No</x:v>
      </x:c>
      <x:c r="J36" s="20" t="str">
        <x:v>None for this variable in the latest document. This variable/source use is not assigned in the latest Additional Variables document; it is retained from an earlier tracker/method or the repository's existing contract.</x:v>
      </x:c>
      <x:c r="K36" s="20" t="str">
        <x:v>Used for the existing earlier-scope repository variable '30-year fixed mortgage rate monthly observation count': Count of weekly Freddie Mac PMMS 30-year fixed-rate observations contributing to the monthly aggregates.. It is retained for prior requirements and is not evidence of latest-document source compliance.</x:v>
      </x:c>
      <x:c r="L36" s="20" t="str">
        <x:v>national 1971-04-30 to 2026-06-30: 663/663 non-null across 1 geographies</x:v>
      </x:c>
      <x:c r="M36" s="20" t="str">
        <x:v>None beyond source-specific refresh and QA.</x:v>
      </x:c>
      <x:c r="N36" s="20" t="str">
        <x:v>Outside the seven source-scoped groups in Sections 3-9.</x:v>
      </x:c>
    </x:row>
    <x:row r="37" ht="82" customHeight="1">
      <x:c r="A37" s="21" t="n">
        <x:v>33</x:v>
      </x:c>
      <x:c r="B37" s="21" t="str">
        <x:v>General</x:v>
      </x:c>
      <x:c r="C37" s="21" t="str">
        <x:v>permits_total</x:v>
      </x:c>
      <x:c r="D37" s="21" t="str">
        <x:v>Total housing units permitted</x:v>
      </x:c>
      <x:c r="E37" s="29" t="str">
        <x:v>Have</x:v>
      </x:c>
      <x:c r="F37" s="29" t="str">
        <x:v>Have</x:v>
      </x:c>
      <x:c r="G37" s="21" t="str">
        <x:v>census_bps_county | census_bps_state (U.S. Census Bureau)</x:v>
      </x:c>
      <x:c r="H37" s="21" t="str">
        <x:v>U.S. Census Bureau</x:v>
      </x:c>
      <x:c r="I37" s="33" t="str">
        <x:v>No</x:v>
      </x:c>
      <x:c r="J37" s="21" t="str">
        <x:v>None for this variable in the latest document. This variable/source use is not assigned in the latest Additional Variables document; it is retained from an earlier tracker/method or the repository's existing contract.</x:v>
      </x:c>
      <x:c r="K37" s="21" t="str">
        <x:v>Used for the existing earlier-scope repository variable 'Total housing units permitted': Units authorized by building permits across structure sizes. It is retained for prior requirements and is not evidence of latest-document source compliance.</x:v>
      </x:c>
      <x:c r="L37" s="21" t="str">
        <x:v>county 2000-01-31 to 2026-06-30: 318/318 non-null across 1 geographies | state 2000-01-31 to 2026-06-30: 318/318 non-null across 1 geographies</x:v>
      </x:c>
      <x:c r="M37" s="21" t="str">
        <x:v>None beyond source-specific refresh and QA.</x:v>
      </x:c>
      <x:c r="N37" s="21" t="str">
        <x:v>Outside the seven source-scoped groups in Sections 3-9.</x:v>
      </x:c>
    </x:row>
    <x:row r="38" ht="82" customHeight="1">
      <x:c r="A38" s="20" t="n">
        <x:v>34</x:v>
      </x:c>
      <x:c r="B38" s="20" t="str">
        <x:v>General</x:v>
      </x:c>
      <x:c r="C38" s="20" t="str">
        <x:v>permits_1_unit</x:v>
      </x:c>
      <x:c r="D38" s="20" t="str">
        <x:v>One-unit housing permits</x:v>
      </x:c>
      <x:c r="E38" s="29" t="str">
        <x:v>Have</x:v>
      </x:c>
      <x:c r="F38" s="29" t="str">
        <x:v>Have</x:v>
      </x:c>
      <x:c r="G38" s="20" t="str">
        <x:v>census_bps_county | census_bps_state (U.S. Census Bureau)</x:v>
      </x:c>
      <x:c r="H38" s="20" t="str">
        <x:v>U.S. Census Bureau</x:v>
      </x:c>
      <x:c r="I38" s="29" t="str">
        <x:v>Yes</x:v>
      </x:c>
      <x:c r="J38" s="20" t="str">
        <x:v>Census Building Permits Survey and BPS annual county/place data. Explicit one-unit housing permit/authorization variable; final annual county benchmark kept separate from monthly data.</x:v>
      </x:c>
      <x:c r="K38" s="20" t="str">
        <x:v>Units authorized in one-unit structures. Used within the latest document's stated variable-specific role and limitations.</x:v>
      </x:c>
      <x:c r="L38" s="20" t="str">
        <x:v>county 2000-01-31 to 2026-06-30: 318/318 non-null across 1 geographies | state 2000-01-31 to 2026-06-30: 318/318 non-null across 1 geographies</x:v>
      </x:c>
      <x:c r="M38" s="20" t="str">
        <x:v>None beyond source-specific refresh and QA.</x:v>
      </x:c>
      <x:c r="N38" s="20" t="str">
        <x:v>Section 4 and Section 11 naming table.</x:v>
      </x:c>
    </x:row>
    <x:row r="39" ht="82" customHeight="1">
      <x:c r="A39" s="21" t="n">
        <x:v>35</x:v>
      </x:c>
      <x:c r="B39" s="21" t="str">
        <x:v>General</x:v>
      </x:c>
      <x:c r="C39" s="21" t="str">
        <x:v>permits_1_unit_annual_final</x:v>
      </x:c>
      <x:c r="D39" s="21" t="str">
        <x:v>One-unit housing permits, final annual</x:v>
      </x:c>
      <x:c r="E39" s="29" t="str">
        <x:v>Have</x:v>
      </x:c>
      <x:c r="F39" s="29" t="str">
        <x:v>Have</x:v>
      </x:c>
      <x:c r="G39" s="21" t="str">
        <x:v>census_bps_county_annual_final (U.S. Census Bureau)</x:v>
      </x:c>
      <x:c r="H39" s="21" t="str">
        <x:v>U.S. Census Bureau</x:v>
      </x:c>
      <x:c r="I39" s="29" t="str">
        <x:v>Yes</x:v>
      </x:c>
      <x:c r="J39" s="21" t="str">
        <x:v>Census Building Permits Survey and BPS annual county/place data. Explicit one-unit housing permit/authorization variable; final annual county benchmark kept separate from monthly data.</x:v>
      </x:c>
      <x:c r="K39" s="21" t="str">
        <x:v>Final annual Census BPS total units authorized in one-unit structures for Los Angeles County.. Used within the latest document's stated variable-specific role and limitations.</x:v>
      </x:c>
      <x:c r="L39" s="21" t="str">
        <x:v>county 1990-12-31 to 2025-12-31: 36/36 non-null across 1 geographies</x:v>
      </x:c>
      <x:c r="M39" s="21" t="str">
        <x:v>None beyond source-specific refresh and QA.</x:v>
      </x:c>
      <x:c r="N39" s="21" t="str">
        <x:v>Section 4 and Section 11 naming table.</x:v>
      </x:c>
    </x:row>
    <x:row r="40" ht="82" customHeight="1">
      <x:c r="A40" s="20" t="n">
        <x:v>36</x:v>
      </x:c>
      <x:c r="B40" s="20" t="str">
        <x:v>General</x:v>
      </x:c>
      <x:c r="C40" s="20" t="str">
        <x:v>permits_2_to_4_units</x:v>
      </x:c>
      <x:c r="D40" s="20" t="str">
        <x:v>Two-to-four-unit housing permits</x:v>
      </x:c>
      <x:c r="E40" s="29" t="str">
        <x:v>Have</x:v>
      </x:c>
      <x:c r="F40" s="29" t="str">
        <x:v>Have</x:v>
      </x:c>
      <x:c r="G40" s="20" t="str">
        <x:v>census_bps_county | census_bps_state (U.S. Census Bureau)</x:v>
      </x:c>
      <x:c r="H40" s="20" t="str">
        <x:v>U.S. Census Bureau</x:v>
      </x:c>
      <x:c r="I40" s="33" t="str">
        <x:v>No</x:v>
      </x:c>
      <x:c r="J40" s="20" t="str">
        <x:v>None for this variable in the latest document. This variable/source use is not assigned in the latest Additional Variables document; it is retained from an earlier tracker/method or the repository's existing contract.</x:v>
      </x:c>
      <x:c r="K40" s="20" t="str">
        <x:v>Used for the existing earlier-scope repository variable 'Two-to-four-unit housing permits': Units authorized in two-unit and three-to-four-unit structures. It is retained for prior requirements and is not evidence of latest-document source compliance.</x:v>
      </x:c>
      <x:c r="L40" s="20" t="str">
        <x:v>county 2000-01-31 to 2026-06-30: 318/318 non-null across 1 geographies | state 2000-01-31 to 2026-06-30: 318/318 non-null across 1 geographies</x:v>
      </x:c>
      <x:c r="M40" s="20" t="str">
        <x:v>None beyond source-specific refresh and QA.</x:v>
      </x:c>
      <x:c r="N40" s="20" t="str">
        <x:v>Outside the seven source-scoped groups in Sections 3-9.</x:v>
      </x:c>
    </x:row>
    <x:row r="41" ht="82" customHeight="1">
      <x:c r="A41" s="21" t="n">
        <x:v>37</x:v>
      </x:c>
      <x:c r="B41" s="21" t="str">
        <x:v>General</x:v>
      </x:c>
      <x:c r="C41" s="21" t="str">
        <x:v>permits_5_plus_units</x:v>
      </x:c>
      <x:c r="D41" s="21" t="str">
        <x:v>Five-or-more-unit housing permits</x:v>
      </x:c>
      <x:c r="E41" s="29" t="str">
        <x:v>Have</x:v>
      </x:c>
      <x:c r="F41" s="29" t="str">
        <x:v>Have</x:v>
      </x:c>
      <x:c r="G41" s="21" t="str">
        <x:v>census_bps_county | census_bps_state (U.S. Census Bureau)</x:v>
      </x:c>
      <x:c r="H41" s="21" t="str">
        <x:v>U.S. Census Bureau</x:v>
      </x:c>
      <x:c r="I41" s="33" t="str">
        <x:v>No</x:v>
      </x:c>
      <x:c r="J41" s="21" t="str">
        <x:v>None for this variable in the latest document. This variable/source use is not assigned in the latest Additional Variables document; it is retained from an earlier tracker/method or the repository's existing contract.</x:v>
      </x:c>
      <x:c r="K41" s="21" t="str">
        <x:v>Used for the existing earlier-scope repository variable 'Five-or-more-unit housing permits': Units authorized in structures with five or more units. It is retained for prior requirements and is not evidence of latest-document source compliance.</x:v>
      </x:c>
      <x:c r="L41" s="21" t="str">
        <x:v>county 2000-01-31 to 2026-06-30: 318/318 non-null across 1 geographies | state 2000-01-31 to 2026-06-30: 318/318 non-null across 1 geographies</x:v>
      </x:c>
      <x:c r="M41" s="21" t="str">
        <x:v>None beyond source-specific refresh and QA.</x:v>
      </x:c>
      <x:c r="N41" s="21" t="str">
        <x:v>Outside the seven source-scoped groups in Sections 3-9.</x:v>
      </x:c>
    </x:row>
    <x:row r="42" ht="82" customHeight="1">
      <x:c r="A42" s="20" t="n">
        <x:v>38</x:v>
      </x:c>
      <x:c r="B42" s="20" t="str">
        <x:v>General</x:v>
      </x:c>
      <x:c r="C42" s="20" t="str">
        <x:v>fhfa_hpi_ca_purchase_only_nsa</x:v>
      </x:c>
      <x:c r="D42" s="20" t="str">
        <x:v>FHFA CA purchase-only HPI NSA</x:v>
      </x:c>
      <x:c r="E42" s="29" t="str">
        <x:v>Have</x:v>
      </x:c>
      <x:c r="F42" s="29" t="str">
        <x:v>Have</x:v>
      </x:c>
      <x:c r="G42" s="20" t="str">
        <x:v>fhfa_hpi_state_purchase_only (Federal Housing Finance Agency)</x:v>
      </x:c>
      <x:c r="H42" s="20" t="str">
        <x:v>Federal Housing Finance Agency</x:v>
      </x:c>
      <x:c r="I42" s="25" t="str">
        <x:v>Partial/context</x:v>
      </x:c>
      <x:c r="J42" s="20" t="str">
        <x:v>FHFA HPI, conditional future alternate only. FHFA HPI is listed only for a future separately rebased FHFA/ZORI alternate. The current standalone HPI variable is earlier-scope.</x:v>
      </x:c>
      <x:c r="K42" s="20" t="str">
        <x:v>FHFA purchase-only repeat-sales house price index for California, not seasonally adjusted. The current source is usable for this labeled contextual/earlier field only; the latest document does not fully authorize this exact variable-use.</x:v>
      </x:c>
      <x:c r="L42" s="20" t="str">
        <x:v>state 1991-03-31 to 2026-03-31: 141/141 non-null across 1 geographies</x:v>
      </x:c>
      <x:c r="M42" s="20" t="str">
        <x:v>None beyond source-specific refresh and QA.</x:v>
      </x:c>
      <x:c r="N42" s="20" t="str">
        <x:v>Section 6 source-version policy.</x:v>
      </x:c>
    </x:row>
    <x:row r="43" ht="82" customHeight="1">
      <x:c r="A43" s="21" t="n">
        <x:v>39</x:v>
      </x:c>
      <x:c r="B43" s="21" t="str">
        <x:v>General</x:v>
      </x:c>
      <x:c r="C43" s="21" t="str">
        <x:v>fhfa_hpi_ca_purchase_only_sa</x:v>
      </x:c>
      <x:c r="D43" s="21" t="str">
        <x:v>FHFA CA purchase-only HPI SA</x:v>
      </x:c>
      <x:c r="E43" s="29" t="str">
        <x:v>Have</x:v>
      </x:c>
      <x:c r="F43" s="29" t="str">
        <x:v>Have</x:v>
      </x:c>
      <x:c r="G43" s="21" t="str">
        <x:v>fhfa_hpi_state_purchase_only (Federal Housing Finance Agency)</x:v>
      </x:c>
      <x:c r="H43" s="21" t="str">
        <x:v>Federal Housing Finance Agency</x:v>
      </x:c>
      <x:c r="I43" s="25" t="str">
        <x:v>Partial/context</x:v>
      </x:c>
      <x:c r="J43" s="21" t="str">
        <x:v>FHFA HPI, conditional future alternate only. FHFA HPI is listed only for a future separately rebased FHFA/ZORI alternate. The current standalone HPI variable is earlier-scope.</x:v>
      </x:c>
      <x:c r="K43" s="21" t="str">
        <x:v>FHFA purchase-only repeat-sales house price index for California, seasonally adjusted. The current source is usable for this labeled contextual/earlier field only; the latest document does not fully authorize this exact variable-use.</x:v>
      </x:c>
      <x:c r="L43" s="21" t="str">
        <x:v>state 1991-03-31 to 2026-03-31: 141/141 non-null across 1 geographies</x:v>
      </x:c>
      <x:c r="M43" s="21" t="str">
        <x:v>None beyond source-specific refresh and QA.</x:v>
      </x:c>
      <x:c r="N43" s="21" t="str">
        <x:v>Section 6 source-version policy.</x:v>
      </x:c>
    </x:row>
    <x:row r="44" ht="82" customHeight="1">
      <x:c r="A44" s="20" t="n">
        <x:v>40</x:v>
      </x:c>
      <x:c r="B44" s="20" t="str">
        <x:v>General</x:v>
      </x:c>
      <x:c r="C44" s="20" t="str">
        <x:v>fhfa_hpi_la_metropolitan_division_purchase_only_nsa</x:v>
      </x:c>
      <x:c r="D44" s="20" t="str">
        <x:v>FHFA LA metro division purchase-only HPI NSA</x:v>
      </x:c>
      <x:c r="E44" s="29" t="str">
        <x:v>Have</x:v>
      </x:c>
      <x:c r="F44" s="29" t="str">
        <x:v>Have</x:v>
      </x:c>
      <x:c r="G44" s="20" t="str">
        <x:v>fhfa_hpi_metro_purchase_only (Federal Housing Finance Agency)</x:v>
      </x:c>
      <x:c r="H44" s="20" t="str">
        <x:v>Federal Housing Finance Agency</x:v>
      </x:c>
      <x:c r="I44" s="25" t="str">
        <x:v>Partial/context</x:v>
      </x:c>
      <x:c r="J44" s="20" t="str">
        <x:v>FHFA HPI, conditional future alternate only. FHFA HPI is listed only for a future separately rebased FHFA/ZORI alternate. The current standalone HPI variable is earlier-scope.</x:v>
      </x:c>
      <x:c r="K44" s="20" t="str">
        <x:v>FHFA purchase-only repeat-sales house price index for Los Angeles-Long Beach-Glendale metropolitan division, not seasonally adjusted. The current source is usable for this labeled contextual/earlier field only; the latest document does not fully authorize this exact variable-use.</x:v>
      </x:c>
      <x:c r="L44" s="20" t="str">
        <x:v>metro_division 1991-03-31 to 2026-03-31: 141/141 non-null across 1 geographies</x:v>
      </x:c>
      <x:c r="M44" s="20" t="str">
        <x:v>None beyond source-specific refresh and QA.</x:v>
      </x:c>
      <x:c r="N44" s="20" t="str">
        <x:v>Section 6 source-version policy.</x:v>
      </x:c>
    </x:row>
    <x:row r="45" ht="82" customHeight="1">
      <x:c r="A45" s="21" t="n">
        <x:v>41</x:v>
      </x:c>
      <x:c r="B45" s="21" t="str">
        <x:v>General</x:v>
      </x:c>
      <x:c r="C45" s="21" t="str">
        <x:v>fhfa_hpi_la_metropolitan_division_purchase_only_sa</x:v>
      </x:c>
      <x:c r="D45" s="21" t="str">
        <x:v>FHFA LA metro division purchase-only HPI SA</x:v>
      </x:c>
      <x:c r="E45" s="29" t="str">
        <x:v>Have</x:v>
      </x:c>
      <x:c r="F45" s="29" t="str">
        <x:v>Have</x:v>
      </x:c>
      <x:c r="G45" s="21" t="str">
        <x:v>fhfa_hpi_metro_purchase_only (Federal Housing Finance Agency)</x:v>
      </x:c>
      <x:c r="H45" s="21" t="str">
        <x:v>Federal Housing Finance Agency</x:v>
      </x:c>
      <x:c r="I45" s="25" t="str">
        <x:v>Partial/context</x:v>
      </x:c>
      <x:c r="J45" s="21" t="str">
        <x:v>FHFA HPI, conditional future alternate only. FHFA HPI is listed only for a future separately rebased FHFA/ZORI alternate. The current standalone HPI variable is earlier-scope.</x:v>
      </x:c>
      <x:c r="K45" s="21" t="str">
        <x:v>FHFA purchase-only repeat-sales house price index for Los Angeles-Long Beach-Glendale metropolitan division, seasonally adjusted. The current source is usable for this labeled contextual/earlier field only; the latest document does not fully authorize this exact variable-use.</x:v>
      </x:c>
      <x:c r="L45" s="21" t="str">
        <x:v>metro_division 1991-03-31 to 2026-03-31: 141/141 non-null across 1 geographies</x:v>
      </x:c>
      <x:c r="M45" s="21" t="str">
        <x:v>None beyond source-specific refresh and QA.</x:v>
      </x:c>
      <x:c r="N45" s="21" t="str">
        <x:v>Section 6 source-version policy.</x:v>
      </x:c>
    </x:row>
    <x:row r="46" ht="82" customHeight="1">
      <x:c r="A46" s="20" t="n">
        <x:v>42</x:v>
      </x:c>
      <x:c r="B46" s="20" t="str">
        <x:v>General</x:v>
      </x:c>
      <x:c r="C46" s="20" t="str">
        <x:v>fhfa_hpi_la_county_all_transactions_nsa_annual</x:v>
      </x:c>
      <x:c r="D46" s="20" t="str">
        <x:v>FHFA LA County annual all-transactions HPI NSA</x:v>
      </x:c>
      <x:c r="E46" s="29" t="str">
        <x:v>Have</x:v>
      </x:c>
      <x:c r="F46" s="29" t="str">
        <x:v>Have</x:v>
      </x:c>
      <x:c r="G46" s="20" t="str">
        <x:v>fhfa_hpi_county_annual (Federal Housing Finance Agency)</x:v>
      </x:c>
      <x:c r="H46" s="20" t="str">
        <x:v>Federal Housing Finance Agency</x:v>
      </x:c>
      <x:c r="I46" s="25" t="str">
        <x:v>Partial/context</x:v>
      </x:c>
      <x:c r="J46" s="20" t="str">
        <x:v>FHFA HPI, conditional future alternate only. FHFA HPI is listed only for a future separately rebased FHFA/ZORI alternate. The current standalone HPI variable is earlier-scope.</x:v>
      </x:c>
      <x:c r="K46" s="20" t="str">
        <x:v>Developmental annual FHFA all-transactions HPI for Los Angeles County, not seasonally adjusted. The current source is usable for this labeled contextual/earlier field only; the latest document does not fully authorize this exact variable-use.</x:v>
      </x:c>
      <x:c r="L46" s="20" t="str">
        <x:v>county 1975-12-31 to 2025-12-31: 51/51 non-null across 1 geographies</x:v>
      </x:c>
      <x:c r="M46" s="20" t="str">
        <x:v>None beyond source-specific refresh and QA.</x:v>
      </x:c>
      <x:c r="N46" s="20" t="str">
        <x:v>Section 6 source-version policy.</x:v>
      </x:c>
    </x:row>
    <x:row r="47" ht="82" customHeight="1">
      <x:c r="A47" s="21" t="n">
        <x:v>43</x:v>
      </x:c>
      <x:c r="B47" s="21" t="str">
        <x:v>General</x:v>
      </x:c>
      <x:c r="C47" s="21" t="str">
        <x:v>bea_ca_personal_income_q_sa</x:v>
      </x:c>
      <x:c r="D47" s="21" t="str">
        <x:v>BEA California quarterly personal income SAAR</x:v>
      </x:c>
      <x:c r="E47" s="29" t="str">
        <x:v>Have</x:v>
      </x:c>
      <x:c r="F47" s="29" t="str">
        <x:v>Have</x:v>
      </x:c>
      <x:c r="G47" s="21" t="str">
        <x:v>bea_state_personal_income (U.S. Bureau of Economic Analysis)</x:v>
      </x:c>
      <x:c r="H47" s="21" t="str">
        <x:v>U.S. Bureau of Economic Analysis</x:v>
      </x:c>
      <x:c r="I47" s="33" t="str">
        <x:v>No</x:v>
      </x:c>
      <x:c r="J47" s="21" t="str">
        <x:v>None for this variable in the latest document. This variable/source use is not assigned in the latest Additional Variables document; it is retained from an earlier tracker/method or the repository's existing contract.</x:v>
      </x:c>
      <x:c r="K47" s="21" t="str">
        <x:v>Used for the existing earlier-scope repository variable 'BEA California quarterly personal income SAAR': California personal income, seasonally adjusted annual rate. It is retained for prior requirements and is not evidence of latest-document source compliance.</x:v>
      </x:c>
      <x:c r="L47" s="21" t="str">
        <x:v>state 1948-03-31 to 2026-03-31: 313/313 non-null across 1 geographies</x:v>
      </x:c>
      <x:c r="M47" s="21" t="str">
        <x:v>None beyond source-specific refresh and QA.</x:v>
      </x:c>
      <x:c r="N47" s="21" t="str">
        <x:v>Outside the seven source-scoped groups in Sections 3-9.</x:v>
      </x:c>
    </x:row>
    <x:row r="48" ht="82" customHeight="1">
      <x:c r="A48" s="20" t="n">
        <x:v>44</x:v>
      </x:c>
      <x:c r="B48" s="20" t="str">
        <x:v>General</x:v>
      </x:c>
      <x:c r="C48" s="20" t="str">
        <x:v>bea_ca_per_capita_personal_income_q_sa</x:v>
      </x:c>
      <x:c r="D48" s="20" t="str">
        <x:v>BEA California quarterly per-capita personal income SAAR</x:v>
      </x:c>
      <x:c r="E48" s="29" t="str">
        <x:v>Have</x:v>
      </x:c>
      <x:c r="F48" s="29" t="str">
        <x:v>Have</x:v>
      </x:c>
      <x:c r="G48" s="20" t="str">
        <x:v>bea_state_personal_income (U.S. Bureau of Economic Analysis)</x:v>
      </x:c>
      <x:c r="H48" s="20" t="str">
        <x:v>U.S. Bureau of Economic Analysis</x:v>
      </x:c>
      <x:c r="I48" s="33" t="str">
        <x:v>No</x:v>
      </x:c>
      <x:c r="J48" s="20" t="str">
        <x:v>None for this variable in the latest document. This variable/source use is not assigned in the latest Additional Variables document; it is retained from an earlier tracker/method or the repository's existing contract.</x:v>
      </x:c>
      <x:c r="K48" s="20" t="str">
        <x:v>Used for the existing earlier-scope repository variable 'BEA California quarterly per-capita personal income SAAR': California per-capita personal income, seasonally adjusted annual rate. It is retained for prior requirements and is not evidence of latest-document source compliance.</x:v>
      </x:c>
      <x:c r="L48" s="20" t="str">
        <x:v>state 1948-03-31 to 2026-03-31: 65/313 non-null across 1 geographies; 248 source/method null rows</x:v>
      </x:c>
      <x:c r="M48" s="20" t="str">
        <x:v>None beyond source-specific refresh and QA.</x:v>
      </x:c>
      <x:c r="N48" s="20" t="str">
        <x:v>Outside the seven source-scoped groups in Sections 3-9.</x:v>
      </x:c>
    </x:row>
    <x:row r="49" ht="82" customHeight="1">
      <x:c r="A49" s="21" t="n">
        <x:v>45</x:v>
      </x:c>
      <x:c r="B49" s="21" t="str">
        <x:v>General</x:v>
      </x:c>
      <x:c r="C49" s="21" t="str">
        <x:v>bea_la_county_personal_income_annual</x:v>
      </x:c>
      <x:c r="D49" s="21" t="str">
        <x:v>BEA LA County annual personal income</x:v>
      </x:c>
      <x:c r="E49" s="29" t="str">
        <x:v>Have</x:v>
      </x:c>
      <x:c r="F49" s="29" t="str">
        <x:v>Have</x:v>
      </x:c>
      <x:c r="G49" s="21" t="str">
        <x:v>bea_county_personal_income (U.S. Bureau of Economic Analysis)</x:v>
      </x:c>
      <x:c r="H49" s="21" t="str">
        <x:v>U.S. Bureau of Economic Analysis</x:v>
      </x:c>
      <x:c r="I49" s="33" t="str">
        <x:v>No</x:v>
      </x:c>
      <x:c r="J49" s="21" t="str">
        <x:v>None for this variable in the latest document. This variable/source use is not assigned in the latest Additional Variables document; it is retained from an earlier tracker/method or the repository's existing contract.</x:v>
      </x:c>
      <x:c r="K49" s="21" t="str">
        <x:v>Used for the existing earlier-scope repository variable 'BEA LA County annual personal income': Los Angeles County annual personal income. It is retained for prior requirements and is not evidence of latest-document source compliance.</x:v>
      </x:c>
      <x:c r="L49" s="21" t="str">
        <x:v>county 1969-12-31 to 2024-12-31: 56/56 non-null across 1 geographies</x:v>
      </x:c>
      <x:c r="M49" s="21" t="str">
        <x:v>None beyond source-specific refresh and QA.</x:v>
      </x:c>
      <x:c r="N49" s="21" t="str">
        <x:v>Outside the seven source-scoped groups in Sections 3-9.</x:v>
      </x:c>
    </x:row>
    <x:row r="50" ht="82" customHeight="1">
      <x:c r="A50" s="20" t="n">
        <x:v>46</x:v>
      </x:c>
      <x:c r="B50" s="20" t="str">
        <x:v>General</x:v>
      </x:c>
      <x:c r="C50" s="20" t="str">
        <x:v>bea_la_county_per_capita_personal_income_annual</x:v>
      </x:c>
      <x:c r="D50" s="20" t="str">
        <x:v>BEA LA County annual per-capita personal income</x:v>
      </x:c>
      <x:c r="E50" s="29" t="str">
        <x:v>Have</x:v>
      </x:c>
      <x:c r="F50" s="29" t="str">
        <x:v>Have</x:v>
      </x:c>
      <x:c r="G50" s="20" t="str">
        <x:v>bea_county_personal_income (U.S. Bureau of Economic Analysis)</x:v>
      </x:c>
      <x:c r="H50" s="20" t="str">
        <x:v>U.S. Bureau of Economic Analysis</x:v>
      </x:c>
      <x:c r="I50" s="33" t="str">
        <x:v>No</x:v>
      </x:c>
      <x:c r="J50" s="20" t="str">
        <x:v>None for this variable in the latest document. This variable/source use is not assigned in the latest Additional Variables document; it is retained from an earlier tracker/method or the repository's existing contract.</x:v>
      </x:c>
      <x:c r="K50" s="20" t="str">
        <x:v>Used for the existing earlier-scope repository variable 'BEA LA County annual per-capita personal income': Los Angeles County annual per-capita personal income. It is retained for prior requirements and is not evidence of latest-document source compliance.</x:v>
      </x:c>
      <x:c r="L50" s="20" t="str">
        <x:v>county 1969-12-31 to 2024-12-31: 56/56 non-null across 1 geographies</x:v>
      </x:c>
      <x:c r="M50" s="20" t="str">
        <x:v>None beyond source-specific refresh and QA.</x:v>
      </x:c>
      <x:c r="N50" s="20" t="str">
        <x:v>Outside the seven source-scoped groups in Sections 3-9.</x:v>
      </x:c>
    </x:row>
    <x:row r="51" ht="82" customHeight="1">
      <x:c r="A51" s="21" t="n">
        <x:v>47</x:v>
      </x:c>
      <x:c r="B51" s="21" t="str">
        <x:v>General</x:v>
      </x:c>
      <x:c r="C51" s="21" t="str">
        <x:v>irs_soi_in_migration_returns</x:v>
      </x:c>
      <x:c r="D51" s="21" t="str">
        <x:v>IRS SOI LA County in-migration returns</x:v>
      </x:c>
      <x:c r="E51" s="29" t="str">
        <x:v>Have</x:v>
      </x:c>
      <x:c r="F51" s="29" t="str">
        <x:v>Have</x:v>
      </x:c>
      <x:c r="G51" s="21" t="str">
        <x:v>irs_soi_county_migration (Internal Revenue Service)</x:v>
      </x:c>
      <x:c r="H51" s="21" t="str">
        <x:v>Internal Revenue Service</x:v>
      </x:c>
      <x:c r="I51" s="29" t="str">
        <x:v>Yes</x:v>
      </x:c>
      <x:c r="J51" s="21" t="str">
        <x:v>IRS SOI gross migration/county inflow-outflow files and IRS geographic documentation. Explicit IRS migration construction input or net annual output.</x:v>
      </x:c>
      <x:c r="K51" s="21" t="str">
        <x:v>Annual IRS SOI county migration tax returns moving into Los Angeles County.. Used within the latest document's stated variable-specific role and limitations.</x:v>
      </x:c>
      <x:c r="L51" s="21" t="str">
        <x:v>county 2011-12-31 to 2023-12-31: 13/13 non-null across 1 geographies</x:v>
      </x:c>
      <x:c r="M51" s="21" t="str">
        <x:v>None beyond source-specific refresh and QA.</x:v>
      </x:c>
      <x:c r="N51" s="21" t="str">
        <x:v>Section 5 and Section 11 naming table.</x:v>
      </x:c>
    </x:row>
    <x:row r="52" ht="82" customHeight="1">
      <x:c r="A52" s="20" t="n">
        <x:v>48</x:v>
      </x:c>
      <x:c r="B52" s="20" t="str">
        <x:v>General</x:v>
      </x:c>
      <x:c r="C52" s="20" t="str">
        <x:v>irs_soi_out_migration_returns</x:v>
      </x:c>
      <x:c r="D52" s="20" t="str">
        <x:v>IRS SOI LA County out-migration returns</x:v>
      </x:c>
      <x:c r="E52" s="29" t="str">
        <x:v>Have</x:v>
      </x:c>
      <x:c r="F52" s="29" t="str">
        <x:v>Have</x:v>
      </x:c>
      <x:c r="G52" s="20" t="str">
        <x:v>irs_soi_county_migration (Internal Revenue Service)</x:v>
      </x:c>
      <x:c r="H52" s="20" t="str">
        <x:v>Internal Revenue Service</x:v>
      </x:c>
      <x:c r="I52" s="29" t="str">
        <x:v>Yes</x:v>
      </x:c>
      <x:c r="J52" s="20" t="str">
        <x:v>IRS SOI gross migration/county inflow-outflow files and IRS geographic documentation. Explicit IRS migration construction input or net annual output.</x:v>
      </x:c>
      <x:c r="K52" s="20" t="str">
        <x:v>Annual IRS SOI county migration tax returns moving out of Los Angeles County.. Used within the latest document's stated variable-specific role and limitations.</x:v>
      </x:c>
      <x:c r="L52" s="20" t="str">
        <x:v>county 2011-12-31 to 2023-12-31: 13/13 non-null across 1 geographies</x:v>
      </x:c>
      <x:c r="M52" s="20" t="str">
        <x:v>None beyond source-specific refresh and QA.</x:v>
      </x:c>
      <x:c r="N52" s="20" t="str">
        <x:v>Section 5 and Section 11 naming table.</x:v>
      </x:c>
    </x:row>
    <x:row r="53" ht="82" customHeight="1">
      <x:c r="A53" s="21" t="n">
        <x:v>49</x:v>
      </x:c>
      <x:c r="B53" s="21" t="str">
        <x:v>General</x:v>
      </x:c>
      <x:c r="C53" s="21" t="str">
        <x:v>irs_soi_net_migration_returns</x:v>
      </x:c>
      <x:c r="D53" s="21" t="str">
        <x:v>IRS SOI LA County net migration returns</x:v>
      </x:c>
      <x:c r="E53" s="29" t="str">
        <x:v>Have</x:v>
      </x:c>
      <x:c r="F53" s="29" t="str">
        <x:v>Have</x:v>
      </x:c>
      <x:c r="G53" s="21" t="str">
        <x:v>irs_soi_county_migration (Internal Revenue Service)</x:v>
      </x:c>
      <x:c r="H53" s="21" t="str">
        <x:v>Internal Revenue Service</x:v>
      </x:c>
      <x:c r="I53" s="29" t="str">
        <x:v>Yes</x:v>
      </x:c>
      <x:c r="J53" s="21" t="str">
        <x:v>IRS SOI gross migration/county inflow-outflow files and IRS geographic documentation. Explicit IRS migration construction input or net annual output.</x:v>
      </x:c>
      <x:c r="K53" s="21" t="str">
        <x:v>Annual IRS SOI in-migration returns minus out-migration returns for Los Angeles County.. Used within the latest document's stated variable-specific role and limitations.</x:v>
      </x:c>
      <x:c r="L53" s="21" t="str">
        <x:v>county 2011-12-31 to 2023-12-31: 13/13 non-null across 1 geographies</x:v>
      </x:c>
      <x:c r="M53" s="21" t="str">
        <x:v>None beyond source-specific refresh and QA.</x:v>
      </x:c>
      <x:c r="N53" s="21" t="str">
        <x:v>Section 5 and Section 11 naming table.</x:v>
      </x:c>
    </x:row>
    <x:row r="54" ht="82" customHeight="1">
      <x:c r="A54" s="20" t="n">
        <x:v>50</x:v>
      </x:c>
      <x:c r="B54" s="20" t="str">
        <x:v>General</x:v>
      </x:c>
      <x:c r="C54" s="20" t="str">
        <x:v>irs_soi_in_migration_exemptions</x:v>
      </x:c>
      <x:c r="D54" s="20" t="str">
        <x:v>IRS SOI LA County in-migration exemptions</x:v>
      </x:c>
      <x:c r="E54" s="29" t="str">
        <x:v>Have</x:v>
      </x:c>
      <x:c r="F54" s="29" t="str">
        <x:v>Have</x:v>
      </x:c>
      <x:c r="G54" s="20" t="str">
        <x:v>irs_soi_county_migration (Internal Revenue Service)</x:v>
      </x:c>
      <x:c r="H54" s="20" t="str">
        <x:v>Internal Revenue Service</x:v>
      </x:c>
      <x:c r="I54" s="29" t="str">
        <x:v>Yes</x:v>
      </x:c>
      <x:c r="J54" s="20" t="str">
        <x:v>IRS SOI gross migration/county inflow-outflow files and IRS geographic documentation. Explicit IRS migration construction input or net annual output.</x:v>
      </x:c>
      <x:c r="K54" s="20" t="str">
        <x:v>Annual IRS SOI county migration exemptions moving into Los Angeles County.. Used within the latest document's stated variable-specific role and limitations.</x:v>
      </x:c>
      <x:c r="L54" s="20" t="str">
        <x:v>county 2011-12-31 to 2023-12-31: 13/13 non-null across 1 geographies</x:v>
      </x:c>
      <x:c r="M54" s="20" t="str">
        <x:v>None beyond source-specific refresh and QA.</x:v>
      </x:c>
      <x:c r="N54" s="20" t="str">
        <x:v>Section 5 and Section 11 naming table.</x:v>
      </x:c>
    </x:row>
    <x:row r="55" ht="82" customHeight="1">
      <x:c r="A55" s="21" t="n">
        <x:v>51</x:v>
      </x:c>
      <x:c r="B55" s="21" t="str">
        <x:v>General</x:v>
      </x:c>
      <x:c r="C55" s="21" t="str">
        <x:v>irs_soi_out_migration_exemptions</x:v>
      </x:c>
      <x:c r="D55" s="21" t="str">
        <x:v>IRS SOI LA County out-migration exemptions</x:v>
      </x:c>
      <x:c r="E55" s="29" t="str">
        <x:v>Have</x:v>
      </x:c>
      <x:c r="F55" s="29" t="str">
        <x:v>Have</x:v>
      </x:c>
      <x:c r="G55" s="21" t="str">
        <x:v>irs_soi_county_migration (Internal Revenue Service)</x:v>
      </x:c>
      <x:c r="H55" s="21" t="str">
        <x:v>Internal Revenue Service</x:v>
      </x:c>
      <x:c r="I55" s="29" t="str">
        <x:v>Yes</x:v>
      </x:c>
      <x:c r="J55" s="21" t="str">
        <x:v>IRS SOI gross migration/county inflow-outflow files and IRS geographic documentation. Explicit IRS migration construction input or net annual output.</x:v>
      </x:c>
      <x:c r="K55" s="21" t="str">
        <x:v>Annual IRS SOI county migration exemptions moving out of Los Angeles County.. Used within the latest document's stated variable-specific role and limitations.</x:v>
      </x:c>
      <x:c r="L55" s="21" t="str">
        <x:v>county 2011-12-31 to 2023-12-31: 13/13 non-null across 1 geographies</x:v>
      </x:c>
      <x:c r="M55" s="21" t="str">
        <x:v>None beyond source-specific refresh and QA.</x:v>
      </x:c>
      <x:c r="N55" s="21" t="str">
        <x:v>Section 5 and Section 11 naming table.</x:v>
      </x:c>
    </x:row>
    <x:row r="56" ht="82" customHeight="1">
      <x:c r="A56" s="20" t="n">
        <x:v>52</x:v>
      </x:c>
      <x:c r="B56" s="20" t="str">
        <x:v>General</x:v>
      </x:c>
      <x:c r="C56" s="20" t="str">
        <x:v>irs_soi_net_migration_exemptions</x:v>
      </x:c>
      <x:c r="D56" s="20" t="str">
        <x:v>IRS SOI LA County net migration exemptions</x:v>
      </x:c>
      <x:c r="E56" s="29" t="str">
        <x:v>Have</x:v>
      </x:c>
      <x:c r="F56" s="29" t="str">
        <x:v>Have</x:v>
      </x:c>
      <x:c r="G56" s="20" t="str">
        <x:v>irs_soi_county_migration (Internal Revenue Service)</x:v>
      </x:c>
      <x:c r="H56" s="20" t="str">
        <x:v>Internal Revenue Service</x:v>
      </x:c>
      <x:c r="I56" s="29" t="str">
        <x:v>Yes</x:v>
      </x:c>
      <x:c r="J56" s="20" t="str">
        <x:v>IRS SOI gross migration/county inflow-outflow files and IRS geographic documentation. Explicit IRS migration construction input or net annual output.</x:v>
      </x:c>
      <x:c r="K56" s="20" t="str">
        <x:v>Annual IRS SOI in-migration exemptions minus out-migration exemptions for Los Angeles County.. Used within the latest document's stated variable-specific role and limitations.</x:v>
      </x:c>
      <x:c r="L56" s="20" t="str">
        <x:v>county 2011-12-31 to 2023-12-31: 13/13 non-null across 1 geographies</x:v>
      </x:c>
      <x:c r="M56" s="20" t="str">
        <x:v>None beyond source-specific refresh and QA.</x:v>
      </x:c>
      <x:c r="N56" s="20" t="str">
        <x:v>Section 5 and Section 11 naming table.</x:v>
      </x:c>
    </x:row>
    <x:row r="57" ht="82" customHeight="1">
      <x:c r="A57" s="21" t="n">
        <x:v>53</x:v>
      </x:c>
      <x:c r="B57" s="21" t="str">
        <x:v>General</x:v>
      </x:c>
      <x:c r="C57" s="21" t="str">
        <x:v>irs_soi_in_migration_agi</x:v>
      </x:c>
      <x:c r="D57" s="21" t="str">
        <x:v>IRS SOI LA County in-migration AGI</x:v>
      </x:c>
      <x:c r="E57" s="29" t="str">
        <x:v>Have</x:v>
      </x:c>
      <x:c r="F57" s="29" t="str">
        <x:v>Have</x:v>
      </x:c>
      <x:c r="G57" s="21" t="str">
        <x:v>irs_soi_county_migration (Internal Revenue Service)</x:v>
      </x:c>
      <x:c r="H57" s="21" t="str">
        <x:v>Internal Revenue Service</x:v>
      </x:c>
      <x:c r="I57" s="29" t="str">
        <x:v>Yes</x:v>
      </x:c>
      <x:c r="J57" s="21" t="str">
        <x:v>IRS SOI gross migration/county inflow-outflow files and IRS geographic documentation. Explicit IRS migration construction input or net annual output.</x:v>
      </x:c>
      <x:c r="K57" s="21" t="str">
        <x:v>Annual aggregate adjusted gross income associated with IRS SOI in-migration returns for Los Angeles County.. Used within the latest document's stated variable-specific role and limitations.</x:v>
      </x:c>
      <x:c r="L57" s="21" t="str">
        <x:v>county 2011-12-31 to 2023-12-31: 13/13 non-null across 1 geographies</x:v>
      </x:c>
      <x:c r="M57" s="21" t="str">
        <x:v>None beyond source-specific refresh and QA.</x:v>
      </x:c>
      <x:c r="N57" s="21" t="str">
        <x:v>Section 5 and Section 11 naming table.</x:v>
      </x:c>
    </x:row>
    <x:row r="58" ht="82" customHeight="1">
      <x:c r="A58" s="20" t="n">
        <x:v>54</x:v>
      </x:c>
      <x:c r="B58" s="20" t="str">
        <x:v>General</x:v>
      </x:c>
      <x:c r="C58" s="20" t="str">
        <x:v>irs_soi_out_migration_agi</x:v>
      </x:c>
      <x:c r="D58" s="20" t="str">
        <x:v>IRS SOI LA County out-migration AGI</x:v>
      </x:c>
      <x:c r="E58" s="29" t="str">
        <x:v>Have</x:v>
      </x:c>
      <x:c r="F58" s="29" t="str">
        <x:v>Have</x:v>
      </x:c>
      <x:c r="G58" s="20" t="str">
        <x:v>irs_soi_county_migration (Internal Revenue Service)</x:v>
      </x:c>
      <x:c r="H58" s="20" t="str">
        <x:v>Internal Revenue Service</x:v>
      </x:c>
      <x:c r="I58" s="29" t="str">
        <x:v>Yes</x:v>
      </x:c>
      <x:c r="J58" s="20" t="str">
        <x:v>IRS SOI gross migration/county inflow-outflow files and IRS geographic documentation. Explicit IRS migration construction input or net annual output.</x:v>
      </x:c>
      <x:c r="K58" s="20" t="str">
        <x:v>Annual aggregate adjusted gross income associated with IRS SOI out-migration returns for Los Angeles County.. Used within the latest document's stated variable-specific role and limitations.</x:v>
      </x:c>
      <x:c r="L58" s="20" t="str">
        <x:v>county 2011-12-31 to 2023-12-31: 13/13 non-null across 1 geographies</x:v>
      </x:c>
      <x:c r="M58" s="20" t="str">
        <x:v>None beyond source-specific refresh and QA.</x:v>
      </x:c>
      <x:c r="N58" s="20" t="str">
        <x:v>Section 5 and Section 11 naming table.</x:v>
      </x:c>
    </x:row>
    <x:row r="59" ht="82" customHeight="1">
      <x:c r="A59" s="21" t="n">
        <x:v>55</x:v>
      </x:c>
      <x:c r="B59" s="21" t="str">
        <x:v>General</x:v>
      </x:c>
      <x:c r="C59" s="21" t="str">
        <x:v>irs_soi_net_migration_agi</x:v>
      </x:c>
      <x:c r="D59" s="21" t="str">
        <x:v>IRS SOI LA County net migration AGI</x:v>
      </x:c>
      <x:c r="E59" s="29" t="str">
        <x:v>Have</x:v>
      </x:c>
      <x:c r="F59" s="29" t="str">
        <x:v>Have</x:v>
      </x:c>
      <x:c r="G59" s="21" t="str">
        <x:v>irs_soi_county_migration (Internal Revenue Service)</x:v>
      </x:c>
      <x:c r="H59" s="21" t="str">
        <x:v>Internal Revenue Service</x:v>
      </x:c>
      <x:c r="I59" s="29" t="str">
        <x:v>Yes</x:v>
      </x:c>
      <x:c r="J59" s="21" t="str">
        <x:v>IRS SOI gross migration/county inflow-outflow files and IRS geographic documentation. Explicit IRS migration construction input or net annual output.</x:v>
      </x:c>
      <x:c r="K59" s="21" t="str">
        <x:v>Annual IRS SOI in-migration AGI minus out-migration AGI for Los Angeles County.. Used within the latest document's stated variable-specific role and limitations.</x:v>
      </x:c>
      <x:c r="L59" s="21" t="str">
        <x:v>county 2011-12-31 to 2023-12-31: 13/13 non-null across 1 geographies</x:v>
      </x:c>
      <x:c r="M59" s="21" t="str">
        <x:v>None beyond source-specific refresh and QA.</x:v>
      </x:c>
      <x:c r="N59" s="21" t="str">
        <x:v>Section 5 and Section 11 naming table.</x:v>
      </x:c>
    </x:row>
    <x:row r="60" ht="82" customHeight="1">
      <x:c r="A60" s="20" t="n">
        <x:v>56</x:v>
      </x:c>
      <x:c r="B60" s="20" t="str">
        <x:v>General</x:v>
      </x:c>
      <x:c r="C60" s="20" t="str">
        <x:v>hvs_rental_vacancy_rate_ca</x:v>
      </x:c>
      <x:c r="D60" s="20" t="str">
        <x:v>HVS California rental vacancy rate</x:v>
      </x:c>
      <x:c r="E60" s="29" t="str">
        <x:v>Have</x:v>
      </x:c>
      <x:c r="F60" s="29" t="str">
        <x:v>Have</x:v>
      </x:c>
      <x:c r="G60" s="20" t="str">
        <x:v>census_hvs_state_rental_vacancy (U.S. Census Bureau)</x:v>
      </x:c>
      <x:c r="H60" s="20" t="str">
        <x:v>U.S. Census Bureau</x:v>
      </x:c>
      <x:c r="I60" s="25" t="str">
        <x:v>Partial/context</x:v>
      </x:c>
      <x:c r="J60" s="20" t="str">
        <x:v>Census Housing Vacancy Survey. Census HVS is listed only as timely national/state vacancy context, not as detailed county/ZIP rental inventory.</x:v>
      </x:c>
      <x:c r="K60" s="20" t="str">
        <x:v>Census HVS rental vacancy rate for California. The current source is usable for this labeled contextual/earlier field only; the latest document does not fully authorize this exact variable-use.</x:v>
      </x:c>
      <x:c r="L60" s="20" t="str">
        <x:v>state 2005-03-31 to 2026-03-31: 85/85 non-null across 1 geographies</x:v>
      </x:c>
      <x:c r="M60" s="20" t="str">
        <x:v>None beyond source-specific refresh and QA.</x:v>
      </x:c>
      <x:c r="N60" s="20" t="str">
        <x:v>Section 7 source note.</x:v>
      </x:c>
    </x:row>
    <x:row r="61" ht="82" customHeight="1">
      <x:c r="A61" s="21" t="n">
        <x:v>57</x:v>
      </x:c>
      <x:c r="B61" s="21" t="str">
        <x:v>General</x:v>
      </x:c>
      <x:c r="C61" s="21" t="str">
        <x:v>hvs_rental_vacancy_rate_ca_moe</x:v>
      </x:c>
      <x:c r="D61" s="21" t="str">
        <x:v>HVS California rental vacancy rate MOE</x:v>
      </x:c>
      <x:c r="E61" s="29" t="str">
        <x:v>Have</x:v>
      </x:c>
      <x:c r="F61" s="29" t="str">
        <x:v>Have</x:v>
      </x:c>
      <x:c r="G61" s="21" t="str">
        <x:v>census_hvs_state_rental_vacancy (U.S. Census Bureau)</x:v>
      </x:c>
      <x:c r="H61" s="21" t="str">
        <x:v>U.S. Census Bureau</x:v>
      </x:c>
      <x:c r="I61" s="25" t="str">
        <x:v>Partial/context</x:v>
      </x:c>
      <x:c r="J61" s="21" t="str">
        <x:v>Census Housing Vacancy Survey. Census HVS is listed only as timely national/state vacancy context, not as detailed county/ZIP rental inventory.</x:v>
      </x:c>
      <x:c r="K61" s="21" t="str">
        <x:v>Published margin of error for California HVS rental vacancy rate. The current source is usable for this labeled contextual/earlier field only; the latest document does not fully authorize this exact variable-use.</x:v>
      </x:c>
      <x:c r="L61" s="21" t="str">
        <x:v>state 2005-03-31 to 2026-03-31: 85/85 non-null across 1 geographies</x:v>
      </x:c>
      <x:c r="M61" s="21" t="str">
        <x:v>None beyond source-specific refresh and QA.</x:v>
      </x:c>
      <x:c r="N61" s="21" t="str">
        <x:v>Section 7 source note.</x:v>
      </x:c>
    </x:row>
    <x:row r="62" ht="82" customHeight="1">
      <x:c r="A62" s="20" t="n">
        <x:v>58</x:v>
      </x:c>
      <x:c r="B62" s="20" t="str">
        <x:v>General</x:v>
      </x:c>
      <x:c r="C62" s="20" t="str">
        <x:v>hvs_rental_vacancy_rate_la_metro</x:v>
      </x:c>
      <x:c r="D62" s="20" t="str">
        <x:v>HVS LA metro rental vacancy rate</x:v>
      </x:c>
      <x:c r="E62" s="29" t="str">
        <x:v>Have</x:v>
      </x:c>
      <x:c r="F62" s="29" t="str">
        <x:v>Have</x:v>
      </x:c>
      <x:c r="G62" s="20" t="str">
        <x:v>census_hvs_metro_rental_vacancy_2005_2014 | census_hvs_metro_rental_vacancy_2015_2025 | census_hvs_metro_rental_vacancy_2026 (U.S. Census Bureau)</x:v>
      </x:c>
      <x:c r="H62" s="20" t="str">
        <x:v>U.S. Census Bureau</x:v>
      </x:c>
      <x:c r="I62" s="25" t="str">
        <x:v>Partial/context</x:v>
      </x:c>
      <x:c r="J62" s="20" t="str">
        <x:v>Census Housing Vacancy Survey. Census HVS is listed only as timely national/state vacancy context, not as detailed county/ZIP rental inventory.</x:v>
      </x:c>
      <x:c r="K62" s="20" t="str">
        <x:v>Census HVS rental vacancy rate for Los Angeles metro area. The current source is usable for this labeled contextual/earlier field only; the latest document does not fully authorize this exact variable-use.</x:v>
      </x:c>
      <x:c r="L62" s="20" t="str">
        <x:v>metro 2005-03-31 to 2026-03-31: 85/85 non-null across 1 geographies</x:v>
      </x:c>
      <x:c r="M62" s="20" t="str">
        <x:v>None beyond source-specific refresh and QA.</x:v>
      </x:c>
      <x:c r="N62" s="20" t="str">
        <x:v>Section 7 source note.</x:v>
      </x:c>
    </x:row>
    <x:row r="63" ht="82" customHeight="1">
      <x:c r="A63" s="21" t="n">
        <x:v>59</x:v>
      </x:c>
      <x:c r="B63" s="21" t="str">
        <x:v>General</x:v>
      </x:c>
      <x:c r="C63" s="21" t="str">
        <x:v>hvs_rental_vacancy_rate_la_metro_moe</x:v>
      </x:c>
      <x:c r="D63" s="21" t="str">
        <x:v>HVS LA metro rental vacancy rate MOE</x:v>
      </x:c>
      <x:c r="E63" s="29" t="str">
        <x:v>Have</x:v>
      </x:c>
      <x:c r="F63" s="29" t="str">
        <x:v>Have</x:v>
      </x:c>
      <x:c r="G63" s="21" t="str">
        <x:v>census_hvs_metro_rental_vacancy_2005_2014 | census_hvs_metro_rental_vacancy_2015_2025 | census_hvs_metro_rental_vacancy_2026 (U.S. Census Bureau)</x:v>
      </x:c>
      <x:c r="H63" s="21" t="str">
        <x:v>U.S. Census Bureau</x:v>
      </x:c>
      <x:c r="I63" s="25" t="str">
        <x:v>Partial/context</x:v>
      </x:c>
      <x:c r="J63" s="21" t="str">
        <x:v>Census Housing Vacancy Survey. Census HVS is listed only as timely national/state vacancy context, not as detailed county/ZIP rental inventory.</x:v>
      </x:c>
      <x:c r="K63" s="21" t="str">
        <x:v>Published margin of error for LA metro HVS rental vacancy rate. The current source is usable for this labeled contextual/earlier field only; the latest document does not fully authorize this exact variable-use.</x:v>
      </x:c>
      <x:c r="L63" s="21" t="str">
        <x:v>metro 2005-03-31 to 2026-03-31: 85/85 non-null across 1 geographies</x:v>
      </x:c>
      <x:c r="M63" s="21" t="str">
        <x:v>None beyond source-specific refresh and QA.</x:v>
      </x:c>
      <x:c r="N63" s="21" t="str">
        <x:v>Section 7 source note.</x:v>
      </x:c>
    </x:row>
    <x:row r="64" ht="82" customHeight="1">
      <x:c r="A64" s="20" t="n">
        <x:v>60</x:v>
      </x:c>
      <x:c r="B64" s="20" t="str">
        <x:v>General</x:v>
      </x:c>
      <x:c r="C64" s="20" t="str">
        <x:v>ces_total_nonfarm_employment_sa</x:v>
      </x:c>
      <x:c r="D64" s="20" t="str">
        <x:v>BLS CES LA metro total nonfarm employment SA</x:v>
      </x:c>
      <x:c r="E64" s="29" t="str">
        <x:v>Have</x:v>
      </x:c>
      <x:c r="F64" s="29" t="str">
        <x:v>Have</x:v>
      </x:c>
      <x:c r="G64" s="20" t="str">
        <x:v>bls_ces_la_metro (U.S. Bureau of Labor Statistics)</x:v>
      </x:c>
      <x:c r="H64" s="20" t="str">
        <x:v>U.S. Bureau of Labor Statistics</x:v>
      </x:c>
      <x:c r="I64" s="33" t="str">
        <x:v>No</x:v>
      </x:c>
      <x:c r="J64" s="20" t="str">
        <x:v>None for this variable in the latest document. This variable/source use is not assigned in the latest Additional Variables document; it is retained from an earlier tracker/method or the repository's existing contract.</x:v>
      </x:c>
      <x:c r="K64" s="20" t="str">
        <x:v>Used for the existing earlier-scope repository variable 'BLS CES LA metro total nonfarm employment SA': Seasonally adjusted total nonfarm payroll employment for Los Angeles-Long Beach-Anaheim MSA. It is retained for prior requirements and is not evidence of latest-document source compliance.</x:v>
      </x:c>
      <x:c r="L64" s="20" t="str">
        <x:v>metro 2005-01-31 to 2026-05-31: 257/257 non-null across 1 geographies</x:v>
      </x:c>
      <x:c r="M64" s="20" t="str">
        <x:v>None beyond source-specific refresh and QA.</x:v>
      </x:c>
      <x:c r="N64" s="20" t="str">
        <x:v>Outside the seven source-scoped groups in Sections 3-9.</x:v>
      </x:c>
    </x:row>
    <x:row r="65" ht="82" customHeight="1">
      <x:c r="A65" s="21" t="n">
        <x:v>61</x:v>
      </x:c>
      <x:c r="B65" s="21" t="str">
        <x:v>General</x:v>
      </x:c>
      <x:c r="C65" s="21" t="str">
        <x:v>cpi_u_all_items_la_nsa</x:v>
      </x:c>
      <x:c r="D65" s="21" t="str">
        <x:v>BLS CPI-U LA metro all items NSA</x:v>
      </x:c>
      <x:c r="E65" s="29" t="str">
        <x:v>Have</x:v>
      </x:c>
      <x:c r="F65" s="29" t="str">
        <x:v>Have</x:v>
      </x:c>
      <x:c r="G65" s="21" t="str">
        <x:v>bls_cpi_la_metro (U.S. Bureau of Labor Statistics)</x:v>
      </x:c>
      <x:c r="H65" s="21" t="str">
        <x:v>U.S. Bureau of Labor Statistics</x:v>
      </x:c>
      <x:c r="I65" s="25" t="str">
        <x:v>Partial/context</x:v>
      </x:c>
      <x:c r="J65" s="21" t="str">
        <x:v>CPI-U concept only; exact series/reference year unspecified. CPI-U is named as an optional deflator, but the document specifies no provider series, geography, or reference year. The current LA CPI macro series is earlier-scope.</x:v>
      </x:c>
      <x:c r="K65" s="21" t="str">
        <x:v>Consumer Price Index for All Urban Consumers, all items, Los Angeles metro, not seasonally adjusted. The current source is usable for this labeled contextual/earlier field only; the latest document does not fully authorize this exact variable-use.</x:v>
      </x:c>
      <x:c r="L65" s="21" t="str">
        <x:v>metro 1914-12-31 to 2026-05-31: 1094/1095 non-null across 1 geographies; 1 source/method null rows</x:v>
      </x:c>
      <x:c r="M65" s="21" t="str">
        <x:v>None beyond source-specific refresh and QA.</x:v>
      </x:c>
      <x:c r="N65" s="21" t="str">
        <x:v>Sections 3 and 8 deflation instructions.</x:v>
      </x:c>
    </x:row>
    <x:row r="66" ht="82" customHeight="1">
      <x:c r="A66" s="20" t="n">
        <x:v>62</x:v>
      </x:c>
      <x:c r="B66" s="20" t="str">
        <x:v>General</x:v>
      </x:c>
      <x:c r="C66" s="20" t="str">
        <x:v>acs_households</x:v>
      </x:c>
      <x:c r="D66" s="20" t="str">
        <x:v>ACS households</x:v>
      </x:c>
      <x:c r="E66" s="29" t="str">
        <x:v>Have</x:v>
      </x:c>
      <x:c r="F66" s="29" t="str">
        <x:v>Have</x:v>
      </x:c>
      <x:c r="G66" s="20" t="str">
        <x:v>census_acs_5year_b11001 (U.S. Census Bureau)</x:v>
      </x:c>
      <x:c r="H66" s="20" t="str">
        <x:v>U.S. Census Bureau</x:v>
      </x:c>
      <x:c r="I66" s="33" t="str">
        <x:v>No</x:v>
      </x:c>
      <x:c r="J66" s="20" t="str">
        <x:v>None for this variable in the latest document. This variable/source use is not assigned in the latest Additional Variables document; it is retained from an earlier tracker/method or the repository's existing contract.</x:v>
      </x:c>
      <x:c r="K66" s="20" t="str">
        <x:v>Used for the existing earlier-scope repository variable 'ACS households': ACS 5-year household count. It is retained for prior requirements and is not evidence of latest-document source compliance.</x:v>
      </x:c>
      <x:c r="L66" s="20" t="str">
        <x:v>county 2010-12-31 to 2024-12-31: 15/15 non-null across 1 geographies | zcta 2011-12-31 to 2024-12-31: 3836/3836 non-null across 274 geographies</x:v>
      </x:c>
      <x:c r="M66" s="20" t="str">
        <x:v>None beyond source-specific refresh and QA.</x:v>
      </x:c>
      <x:c r="N66" s="20" t="str">
        <x:v>Outside the seven source-scoped groups in Sections 3-9.</x:v>
      </x:c>
    </x:row>
    <x:row r="67" ht="82" customHeight="1">
      <x:c r="A67" s="21" t="n">
        <x:v>63</x:v>
      </x:c>
      <x:c r="B67" s="21" t="str">
        <x:v>General</x:v>
      </x:c>
      <x:c r="C67" s="21" t="str">
        <x:v>acs_households_moe</x:v>
      </x:c>
      <x:c r="D67" s="21" t="str">
        <x:v>ACS households MOE</x:v>
      </x:c>
      <x:c r="E67" s="29" t="str">
        <x:v>Have</x:v>
      </x:c>
      <x:c r="F67" s="29" t="str">
        <x:v>Have</x:v>
      </x:c>
      <x:c r="G67" s="21" t="str">
        <x:v>census_acs_5year_b11001 (U.S. Census Bureau)</x:v>
      </x:c>
      <x:c r="H67" s="21" t="str">
        <x:v>U.S. Census Bureau</x:v>
      </x:c>
      <x:c r="I67" s="33" t="str">
        <x:v>No</x:v>
      </x:c>
      <x:c r="J67" s="21" t="str">
        <x:v>None for this variable in the latest document. This variable/source use is not assigned in the latest Additional Variables document; it is retained from an earlier tracker/method or the repository's existing contract.</x:v>
      </x:c>
      <x:c r="K67" s="21" t="str">
        <x:v>Used for the existing earlier-scope repository variable 'ACS households MOE': ACS 5-year margin of error for household count. It is retained for prior requirements and is not evidence of latest-document source compliance.</x:v>
      </x:c>
      <x:c r="L67" s="21" t="str">
        <x:v>county 2010-12-31 to 2024-12-31: 15/15 non-null across 1 geographies | zcta 2011-12-31 to 2024-12-31: 3836/3836 non-null across 274 geographies</x:v>
      </x:c>
      <x:c r="M67" s="21" t="str">
        <x:v>None beyond source-specific refresh and QA.</x:v>
      </x:c>
      <x:c r="N67" s="21" t="str">
        <x:v>Outside the seven source-scoped groups in Sections 3-9.</x:v>
      </x:c>
    </x:row>
    <x:row r="68" ht="82" customHeight="1">
      <x:c r="A68" s="20" t="n">
        <x:v>64</x:v>
      </x:c>
      <x:c r="B68" s="20" t="str">
        <x:v>General</x:v>
      </x:c>
      <x:c r="C68" s="20" t="str">
        <x:v>acs_median_household_income</x:v>
      </x:c>
      <x:c r="D68" s="20" t="str">
        <x:v>ACS median household income</x:v>
      </x:c>
      <x:c r="E68" s="29" t="str">
        <x:v>Have</x:v>
      </x:c>
      <x:c r="F68" s="29" t="str">
        <x:v>Have</x:v>
      </x:c>
      <x:c r="G68" s="20" t="str">
        <x:v>census_acs_5year_b19013 (U.S. Census Bureau)</x:v>
      </x:c>
      <x:c r="H68" s="20" t="str">
        <x:v>U.S. Census Bureau</x:v>
      </x:c>
      <x:c r="I68" s="33" t="str">
        <x:v>No</x:v>
      </x:c>
      <x:c r="J68" s="20" t="str">
        <x:v>None for this variable in the latest document. This variable/source use is not assigned in the latest Additional Variables document; it is retained from an earlier tracker/method or the repository's existing contract.</x:v>
      </x:c>
      <x:c r="K68" s="20" t="str">
        <x:v>Used for the existing earlier-scope repository variable 'ACS median household income': ACS 5-year median household income. It is retained for prior requirements and is not evidence of latest-document source compliance.</x:v>
      </x:c>
      <x:c r="L68" s="20" t="str">
        <x:v>county 2010-12-31 to 2024-12-31: 15/15 non-null across 1 geographies | zcta 2011-12-31 to 2024-12-31: 3835/3836 non-null across 274 geographies; 1 source/method null rows</x:v>
      </x:c>
      <x:c r="M68" s="20" t="str">
        <x:v>None beyond source-specific refresh and QA.</x:v>
      </x:c>
      <x:c r="N68" s="20" t="str">
        <x:v>Outside the seven source-scoped groups in Sections 3-9.</x:v>
      </x:c>
    </x:row>
    <x:row r="69" ht="82" customHeight="1">
      <x:c r="A69" s="21" t="n">
        <x:v>65</x:v>
      </x:c>
      <x:c r="B69" s="21" t="str">
        <x:v>General</x:v>
      </x:c>
      <x:c r="C69" s="21" t="str">
        <x:v>acs_median_household_income_moe</x:v>
      </x:c>
      <x:c r="D69" s="21" t="str">
        <x:v>ACS median household income MOE</x:v>
      </x:c>
      <x:c r="E69" s="29" t="str">
        <x:v>Have</x:v>
      </x:c>
      <x:c r="F69" s="29" t="str">
        <x:v>Have</x:v>
      </x:c>
      <x:c r="G69" s="21" t="str">
        <x:v>census_acs_5year_b19013 (U.S. Census Bureau)</x:v>
      </x:c>
      <x:c r="H69" s="21" t="str">
        <x:v>U.S. Census Bureau</x:v>
      </x:c>
      <x:c r="I69" s="33" t="str">
        <x:v>No</x:v>
      </x:c>
      <x:c r="J69" s="21" t="str">
        <x:v>None for this variable in the latest document. This variable/source use is not assigned in the latest Additional Variables document; it is retained from an earlier tracker/method or the repository's existing contract.</x:v>
      </x:c>
      <x:c r="K69" s="21" t="str">
        <x:v>Used for the existing earlier-scope repository variable 'ACS median household income MOE': ACS 5-year margin of error for median household income. It is retained for prior requirements and is not evidence of latest-document source compliance.</x:v>
      </x:c>
      <x:c r="L69" s="21" t="str">
        <x:v>county 2010-12-31 to 2024-12-31: 15/15 non-null across 1 geographies | zcta 2011-12-31 to 2024-12-31: 3835/3836 non-null across 274 geographies; 1 source/method null rows</x:v>
      </x:c>
      <x:c r="M69" s="21" t="str">
        <x:v>None beyond source-specific refresh and QA.</x:v>
      </x:c>
      <x:c r="N69" s="21" t="str">
        <x:v>Outside the seven source-scoped groups in Sections 3-9.</x:v>
      </x:c>
    </x:row>
    <x:row r="70" ht="82" customHeight="1">
      <x:c r="A70" s="20" t="n">
        <x:v>66</x:v>
      </x:c>
      <x:c r="B70" s="20" t="str">
        <x:v>General</x:v>
      </x:c>
      <x:c r="C70" s="20" t="str">
        <x:v>acs_total_housing_units</x:v>
      </x:c>
      <x:c r="D70" s="20" t="str">
        <x:v>ACS total housing units</x:v>
      </x:c>
      <x:c r="E70" s="29" t="str">
        <x:v>Have</x:v>
      </x:c>
      <x:c r="F70" s="29" t="str">
        <x:v>Have</x:v>
      </x:c>
      <x:c r="G70" s="20" t="str">
        <x:v>census_acs_5year_b25001 (U.S. Census Bureau)</x:v>
      </x:c>
      <x:c r="H70" s="20" t="str">
        <x:v>U.S. Census Bureau</x:v>
      </x:c>
      <x:c r="I70" s="33" t="str">
        <x:v>No</x:v>
      </x:c>
      <x:c r="J70" s="20" t="str">
        <x:v>None for this variable in the latest document. This variable/source use is not assigned in the latest Additional Variables document; it is retained from an earlier tracker/method or the repository's existing contract.</x:v>
      </x:c>
      <x:c r="K70" s="20" t="str">
        <x:v>Used for the existing earlier-scope repository variable 'ACS total housing units': ACS 5-year total housing units. It is retained for prior requirements and is not evidence of latest-document source compliance.</x:v>
      </x:c>
      <x:c r="L70" s="20" t="str">
        <x:v>county 2010-12-31 to 2024-12-31: 15/15 non-null across 1 geographies | zcta 2011-12-31 to 2024-12-31: 3836/3836 non-null across 274 geographies</x:v>
      </x:c>
      <x:c r="M70" s="20" t="str">
        <x:v>None beyond source-specific refresh and QA.</x:v>
      </x:c>
      <x:c r="N70" s="20" t="str">
        <x:v>Outside the seven source-scoped groups in Sections 3-9.</x:v>
      </x:c>
    </x:row>
    <x:row r="71" ht="82" customHeight="1">
      <x:c r="A71" s="21" t="n">
        <x:v>67</x:v>
      </x:c>
      <x:c r="B71" s="21" t="str">
        <x:v>General</x:v>
      </x:c>
      <x:c r="C71" s="21" t="str">
        <x:v>acs_total_housing_units_moe</x:v>
      </x:c>
      <x:c r="D71" s="21" t="str">
        <x:v>ACS total housing units MOE</x:v>
      </x:c>
      <x:c r="E71" s="29" t="str">
        <x:v>Have</x:v>
      </x:c>
      <x:c r="F71" s="29" t="str">
        <x:v>Have</x:v>
      </x:c>
      <x:c r="G71" s="21" t="str">
        <x:v>census_acs_5year_b25001 (U.S. Census Bureau)</x:v>
      </x:c>
      <x:c r="H71" s="21" t="str">
        <x:v>U.S. Census Bureau</x:v>
      </x:c>
      <x:c r="I71" s="33" t="str">
        <x:v>No</x:v>
      </x:c>
      <x:c r="J71" s="21" t="str">
        <x:v>None for this variable in the latest document. This variable/source use is not assigned in the latest Additional Variables document; it is retained from an earlier tracker/method or the repository's existing contract.</x:v>
      </x:c>
      <x:c r="K71" s="21" t="str">
        <x:v>Used for the existing earlier-scope repository variable 'ACS total housing units MOE': ACS 5-year margin of error for total housing units. It is retained for prior requirements and is not evidence of latest-document source compliance.</x:v>
      </x:c>
      <x:c r="L71" s="21" t="str">
        <x:v>county 2010-12-31 to 2024-12-31: 15/15 non-null across 1 geographies | zcta 2011-12-31 to 2024-12-31: 3836/3836 non-null across 274 geographies</x:v>
      </x:c>
      <x:c r="M71" s="21" t="str">
        <x:v>None beyond source-specific refresh and QA.</x:v>
      </x:c>
      <x:c r="N71" s="21" t="str">
        <x:v>Outside the seven source-scoped groups in Sections 3-9.</x:v>
      </x:c>
    </x:row>
    <x:row r="72" ht="82" customHeight="1">
      <x:c r="A72" s="20" t="n">
        <x:v>68</x:v>
      </x:c>
      <x:c r="B72" s="20" t="str">
        <x:v>General</x:v>
      </x:c>
      <x:c r="C72" s="20" t="str">
        <x:v>acs_vacant_housing_units</x:v>
      </x:c>
      <x:c r="D72" s="20" t="str">
        <x:v>ACS vacant housing units</x:v>
      </x:c>
      <x:c r="E72" s="29" t="str">
        <x:v>Have</x:v>
      </x:c>
      <x:c r="F72" s="29" t="str">
        <x:v>Have</x:v>
      </x:c>
      <x:c r="G72" s="20" t="str">
        <x:v>census_acs_5year_b25002 (U.S. Census Bureau)</x:v>
      </x:c>
      <x:c r="H72" s="20" t="str">
        <x:v>U.S. Census Bureau</x:v>
      </x:c>
      <x:c r="I72" s="33" t="str">
        <x:v>No</x:v>
      </x:c>
      <x:c r="J72" s="20" t="str">
        <x:v>None for this variable in the latest document. This variable/source use is not assigned in the latest Additional Variables document; it is retained from an earlier tracker/method or the repository's existing contract.</x:v>
      </x:c>
      <x:c r="K72" s="20" t="str">
        <x:v>Used for the existing earlier-scope repository variable 'ACS vacant housing units': ACS 5-year vacant housing units. It is retained for prior requirements and is not evidence of latest-document source compliance.</x:v>
      </x:c>
      <x:c r="L72" s="20" t="str">
        <x:v>county 2010-12-31 to 2024-12-31: 15/15 non-null across 1 geographies | zcta 2011-12-31 to 2024-12-31: 3836/3836 non-null across 274 geographies</x:v>
      </x:c>
      <x:c r="M72" s="20" t="str">
        <x:v>None beyond source-specific refresh and QA.</x:v>
      </x:c>
      <x:c r="N72" s="20" t="str">
        <x:v>Outside the seven source-scoped groups in Sections 3-9.</x:v>
      </x:c>
    </x:row>
    <x:row r="73" ht="82" customHeight="1">
      <x:c r="A73" s="21" t="n">
        <x:v>69</x:v>
      </x:c>
      <x:c r="B73" s="21" t="str">
        <x:v>General</x:v>
      </x:c>
      <x:c r="C73" s="21" t="str">
        <x:v>acs_vacant_housing_units_moe</x:v>
      </x:c>
      <x:c r="D73" s="21" t="str">
        <x:v>ACS vacant housing units MOE</x:v>
      </x:c>
      <x:c r="E73" s="29" t="str">
        <x:v>Have</x:v>
      </x:c>
      <x:c r="F73" s="29" t="str">
        <x:v>Have</x:v>
      </x:c>
      <x:c r="G73" s="21" t="str">
        <x:v>census_acs_5year_b25002 (U.S. Census Bureau)</x:v>
      </x:c>
      <x:c r="H73" s="21" t="str">
        <x:v>U.S. Census Bureau</x:v>
      </x:c>
      <x:c r="I73" s="33" t="str">
        <x:v>No</x:v>
      </x:c>
      <x:c r="J73" s="21" t="str">
        <x:v>None for this variable in the latest document. This variable/source use is not assigned in the latest Additional Variables document; it is retained from an earlier tracker/method or the repository's existing contract.</x:v>
      </x:c>
      <x:c r="K73" s="21" t="str">
        <x:v>Used for the existing earlier-scope repository variable 'ACS vacant housing units MOE': ACS 5-year margin of error for vacant housing units. It is retained for prior requirements and is not evidence of latest-document source compliance.</x:v>
      </x:c>
      <x:c r="L73" s="21" t="str">
        <x:v>county 2010-12-31 to 2024-12-31: 15/15 non-null across 1 geographies | zcta 2011-12-31 to 2024-12-31: 3836/3836 non-null across 274 geographies</x:v>
      </x:c>
      <x:c r="M73" s="21" t="str">
        <x:v>None beyond source-specific refresh and QA.</x:v>
      </x:c>
      <x:c r="N73" s="21" t="str">
        <x:v>Outside the seven source-scoped groups in Sections 3-9.</x:v>
      </x:c>
    </x:row>
    <x:row r="74" ht="82" customHeight="1">
      <x:c r="A74" s="20" t="n">
        <x:v>70</x:v>
      </x:c>
      <x:c r="B74" s="20" t="str">
        <x:v>General</x:v>
      </x:c>
      <x:c r="C74" s="20" t="str">
        <x:v>acs_owner_occupied_units</x:v>
      </x:c>
      <x:c r="D74" s="20" t="str">
        <x:v>ACS owner-occupied units</x:v>
      </x:c>
      <x:c r="E74" s="29" t="str">
        <x:v>Have</x:v>
      </x:c>
      <x:c r="F74" s="29" t="str">
        <x:v>Have</x:v>
      </x:c>
      <x:c r="G74" s="20" t="str">
        <x:v>census_acs_5year_b25003 (U.S. Census Bureau)</x:v>
      </x:c>
      <x:c r="H74" s="20" t="str">
        <x:v>U.S. Census Bureau</x:v>
      </x:c>
      <x:c r="I74" s="33" t="str">
        <x:v>No</x:v>
      </x:c>
      <x:c r="J74" s="20" t="str">
        <x:v>None for this variable in the latest document. This variable/source use is not assigned in the latest Additional Variables document; it is retained from an earlier tracker/method or the repository's existing contract.</x:v>
      </x:c>
      <x:c r="K74" s="20" t="str">
        <x:v>Used for the existing earlier-scope repository variable 'ACS owner-occupied units': ACS 5-year owner-occupied housing units. It is retained for prior requirements and is not evidence of latest-document source compliance.</x:v>
      </x:c>
      <x:c r="L74" s="20" t="str">
        <x:v>county 2010-12-31 to 2024-12-31: 15/15 non-null across 1 geographies | zcta 2011-12-31 to 2024-12-31: 3836/3836 non-null across 274 geographies</x:v>
      </x:c>
      <x:c r="M74" s="20" t="str">
        <x:v>None beyond source-specific refresh and QA.</x:v>
      </x:c>
      <x:c r="N74" s="20" t="str">
        <x:v>Outside the seven source-scoped groups in Sections 3-9.</x:v>
      </x:c>
    </x:row>
    <x:row r="75" ht="82" customHeight="1">
      <x:c r="A75" s="21" t="n">
        <x:v>71</x:v>
      </x:c>
      <x:c r="B75" s="21" t="str">
        <x:v>General</x:v>
      </x:c>
      <x:c r="C75" s="21" t="str">
        <x:v>acs_owner_occupied_units_moe</x:v>
      </x:c>
      <x:c r="D75" s="21" t="str">
        <x:v>ACS owner-occupied units MOE</x:v>
      </x:c>
      <x:c r="E75" s="29" t="str">
        <x:v>Have</x:v>
      </x:c>
      <x:c r="F75" s="29" t="str">
        <x:v>Have</x:v>
      </x:c>
      <x:c r="G75" s="21" t="str">
        <x:v>census_acs_5year_b25003 (U.S. Census Bureau)</x:v>
      </x:c>
      <x:c r="H75" s="21" t="str">
        <x:v>U.S. Census Bureau</x:v>
      </x:c>
      <x:c r="I75" s="33" t="str">
        <x:v>No</x:v>
      </x:c>
      <x:c r="J75" s="21" t="str">
        <x:v>None for this variable in the latest document. This variable/source use is not assigned in the latest Additional Variables document; it is retained from an earlier tracker/method or the repository's existing contract.</x:v>
      </x:c>
      <x:c r="K75" s="21" t="str">
        <x:v>Used for the existing earlier-scope repository variable 'ACS owner-occupied units MOE': ACS 5-year margin of error for owner-occupied units. It is retained for prior requirements and is not evidence of latest-document source compliance.</x:v>
      </x:c>
      <x:c r="L75" s="21" t="str">
        <x:v>county 2010-12-31 to 2024-12-31: 15/15 non-null across 1 geographies | zcta 2011-12-31 to 2024-12-31: 3836/3836 non-null across 274 geographies</x:v>
      </x:c>
      <x:c r="M75" s="21" t="str">
        <x:v>None beyond source-specific refresh and QA.</x:v>
      </x:c>
      <x:c r="N75" s="21" t="str">
        <x:v>Outside the seven source-scoped groups in Sections 3-9.</x:v>
      </x:c>
    </x:row>
    <x:row r="76" ht="82" customHeight="1">
      <x:c r="A76" s="20" t="n">
        <x:v>72</x:v>
      </x:c>
      <x:c r="B76" s="20" t="str">
        <x:v>General</x:v>
      </x:c>
      <x:c r="C76" s="20" t="str">
        <x:v>acs_renter_occupied_units</x:v>
      </x:c>
      <x:c r="D76" s="20" t="str">
        <x:v>ACS renter-occupied units</x:v>
      </x:c>
      <x:c r="E76" s="29" t="str">
        <x:v>Have</x:v>
      </x:c>
      <x:c r="F76" s="29" t="str">
        <x:v>Have</x:v>
      </x:c>
      <x:c r="G76" s="20" t="str">
        <x:v>census_acs_5year_b25003 (U.S. Census Bureau)</x:v>
      </x:c>
      <x:c r="H76" s="20" t="str">
        <x:v>U.S. Census Bureau</x:v>
      </x:c>
      <x:c r="I76" s="29" t="str">
        <x:v>Yes</x:v>
      </x:c>
      <x:c r="J76" s="20" t="str">
        <x:v>Census ACS B25003 and B25004. Explicit ACS rental-availability component, MOE, or annual rate. Current configured-ZCTA components extend the document's primary county construction and remain separately labeled Census ZCTAs.</x:v>
      </x:c>
      <x:c r="K76" s="20" t="str">
        <x:v>ACS 5-year renter-occupied housing units. Used within the latest document's stated variable-specific role and limitations.</x:v>
      </x:c>
      <x:c r="L76" s="20" t="str">
        <x:v>county 2010-12-31 to 2024-12-31: 15/15 non-null across 1 geographies | zcta 2011-12-31 to 2024-12-31: 3836/3836 non-null across 274 geographies</x:v>
      </x:c>
      <x:c r="M76" s="20" t="str">
        <x:v>None beyond source-specific refresh and QA.</x:v>
      </x:c>
      <x:c r="N76" s="20" t="str">
        <x:v>Section 7 Tier A, construction items 1-3, and Section 11 naming table.</x:v>
      </x:c>
    </x:row>
    <x:row r="77" ht="82" customHeight="1">
      <x:c r="A77" s="21" t="n">
        <x:v>73</x:v>
      </x:c>
      <x:c r="B77" s="21" t="str">
        <x:v>General</x:v>
      </x:c>
      <x:c r="C77" s="21" t="str">
        <x:v>acs_renter_occupied_units_moe</x:v>
      </x:c>
      <x:c r="D77" s="21" t="str">
        <x:v>ACS renter-occupied units MOE</x:v>
      </x:c>
      <x:c r="E77" s="29" t="str">
        <x:v>Have</x:v>
      </x:c>
      <x:c r="F77" s="29" t="str">
        <x:v>Have</x:v>
      </x:c>
      <x:c r="G77" s="21" t="str">
        <x:v>census_acs_5year_b25003 (U.S. Census Bureau)</x:v>
      </x:c>
      <x:c r="H77" s="21" t="str">
        <x:v>U.S. Census Bureau</x:v>
      </x:c>
      <x:c r="I77" s="29" t="str">
        <x:v>Yes</x:v>
      </x:c>
      <x:c r="J77" s="21" t="str">
        <x:v>Census ACS B25003 and B25004. Explicit ACS rental-availability component, MOE, or annual rate. Current configured-ZCTA components extend the document's primary county construction and remain separately labeled Census ZCTAs.</x:v>
      </x:c>
      <x:c r="K77" s="21" t="str">
        <x:v>ACS 5-year margin of error for renter-occupied units. Used within the latest document's stated variable-specific role and limitations.</x:v>
      </x:c>
      <x:c r="L77" s="21" t="str">
        <x:v>county 2010-12-31 to 2024-12-31: 15/15 non-null across 1 geographies | zcta 2011-12-31 to 2024-12-31: 3836/3836 non-null across 274 geographies</x:v>
      </x:c>
      <x:c r="M77" s="21" t="str">
        <x:v>None beyond source-specific refresh and QA.</x:v>
      </x:c>
      <x:c r="N77" s="21" t="str">
        <x:v>Section 7 Tier A, construction items 1-3, and Section 11 naming table.</x:v>
      </x:c>
    </x:row>
    <x:row r="78" ht="82" customHeight="1">
      <x:c r="A78" s="20" t="n">
        <x:v>74</x:v>
      </x:c>
      <x:c r="B78" s="20" t="str">
        <x:v>General</x:v>
      </x:c>
      <x:c r="C78" s="20" t="str">
        <x:v>acs_for_rent_vacant_units</x:v>
      </x:c>
      <x:c r="D78" s="20" t="str">
        <x:v>ACS for-rent vacant units</x:v>
      </x:c>
      <x:c r="E78" s="29" t="str">
        <x:v>Have</x:v>
      </x:c>
      <x:c r="F78" s="29" t="str">
        <x:v>Have</x:v>
      </x:c>
      <x:c r="G78" s="20" t="str">
        <x:v>census_acs_5year_b25004 (U.S. Census Bureau)</x:v>
      </x:c>
      <x:c r="H78" s="20" t="str">
        <x:v>U.S. Census Bureau</x:v>
      </x:c>
      <x:c r="I78" s="29" t="str">
        <x:v>Yes</x:v>
      </x:c>
      <x:c r="J78" s="20" t="str">
        <x:v>Census ACS B25003 and B25004. Explicit ACS rental-availability component, MOE, or annual rate. Current configured-ZCTA components extend the document's primary county construction and remain separately labeled Census ZCTAs.</x:v>
      </x:c>
      <x:c r="K78" s="20" t="str">
        <x:v>Housing units classified as vacant and for rent in ACS Detailed Table B25004.. Used within the latest document's stated variable-specific role and limitations.</x:v>
      </x:c>
      <x:c r="L78" s="20" t="str">
        <x:v>county 2010-12-31 to 2024-12-31: 15/15 non-null across 1 geographies | zcta 2011-12-31 to 2024-12-31: 3836/3836 non-null across 274 geographies</x:v>
      </x:c>
      <x:c r="M78" s="20" t="str">
        <x:v>None beyond source-specific refresh and QA.</x:v>
      </x:c>
      <x:c r="N78" s="20" t="str">
        <x:v>Section 7 Tier A, construction items 1-3, and Section 11 naming table.</x:v>
      </x:c>
    </x:row>
    <x:row r="79" ht="82" customHeight="1">
      <x:c r="A79" s="21" t="n">
        <x:v>75</x:v>
      </x:c>
      <x:c r="B79" s="21" t="str">
        <x:v>General</x:v>
      </x:c>
      <x:c r="C79" s="21" t="str">
        <x:v>acs_for_rent_vacant_units_moe</x:v>
      </x:c>
      <x:c r="D79" s="21" t="str">
        <x:v>ACS for-rent vacant units 90% MOE</x:v>
      </x:c>
      <x:c r="E79" s="29" t="str">
        <x:v>Have</x:v>
      </x:c>
      <x:c r="F79" s="29" t="str">
        <x:v>Have</x:v>
      </x:c>
      <x:c r="G79" s="21" t="str">
        <x:v>census_acs_5year_b25004 (U.S. Census Bureau)</x:v>
      </x:c>
      <x:c r="H79" s="21" t="str">
        <x:v>U.S. Census Bureau</x:v>
      </x:c>
      <x:c r="I79" s="29" t="str">
        <x:v>Yes</x:v>
      </x:c>
      <x:c r="J79" s="21" t="str">
        <x:v>Census ACS B25003 and B25004. Explicit ACS rental-availability component, MOE, or annual rate. Current configured-ZCTA components extend the document's primary county construction and remain separately labeled Census ZCTAs.</x:v>
      </x:c>
      <x:c r="K79" s="21" t="str">
        <x:v>Published 90 percent margin of error for ACS B25004 for-rent vacant units.. Used within the latest document's stated variable-specific role and limitations.</x:v>
      </x:c>
      <x:c r="L79" s="21" t="str">
        <x:v>county 2010-12-31 to 2024-12-31: 15/15 non-null across 1 geographies | zcta 2011-12-31 to 2024-12-31: 3836/3836 non-null across 274 geographies</x:v>
      </x:c>
      <x:c r="M79" s="21" t="str">
        <x:v>None beyond source-specific refresh and QA.</x:v>
      </x:c>
      <x:c r="N79" s="21" t="str">
        <x:v>Section 7 Tier A, construction items 1-3, and Section 11 naming table.</x:v>
      </x:c>
    </x:row>
    <x:row r="80" ht="82" customHeight="1">
      <x:c r="A80" s="20" t="n">
        <x:v>76</x:v>
      </x:c>
      <x:c r="B80" s="20" t="str">
        <x:v>General</x:v>
      </x:c>
      <x:c r="C80" s="20" t="str">
        <x:v>acs_rental_availability_rate</x:v>
      </x:c>
      <x:c r="D80" s="20" t="str">
        <x:v>ACS county rental-availability rate proxy</x:v>
      </x:c>
      <x:c r="E80" s="29" t="str">
        <x:v>Have</x:v>
      </x:c>
      <x:c r="F80" s="29" t="str">
        <x:v>Have</x:v>
      </x:c>
      <x:c r="G80" s="20" t="str">
        <x:v>census_acs_5year_b25003 | census_acs_5year_b25004 (Constructed from U.S. Census Bureau ACS)</x:v>
      </x:c>
      <x:c r="H80" s="20" t="str">
        <x:v>Constructed from U.S. Census Bureau ACS</x:v>
      </x:c>
      <x:c r="I80" s="29" t="str">
        <x:v>Yes</x:v>
      </x:c>
      <x:c r="J80" s="20" t="str">
        <x:v>Census ACS B25003 and B25004. Explicit ACS rental-availability component, MOE, or annual rate. Current configured-ZCTA components extend the document's primary county construction and remain separately labeled Census ZCTAs.</x:v>
      </x:c>
      <x:c r="K80" s="20" t="str">
        <x:v>ACS for-rent vacant units divided by renter-occupied units plus for-rent vacant units.. Used within the latest document's stated variable-specific role and limitations.</x:v>
      </x:c>
      <x:c r="L80" s="20" t="str">
        <x:v>15 non-null LA County rates, 2010-2024; 2024 = 0.0402385507 and all 15 quality flags are 'ok' Gap: The constructed rate is county-only and annual; it does not supply ZCTA rates or monthly rental listings.</x:v>
      </x:c>
      <x:c r="M80" s="20" t="str">
        <x:v>None beyond source-specific refresh and QA.</x:v>
      </x:c>
      <x:c r="N80" s="20" t="str">
        <x:v>Section 7 Tier A, construction items 1-3, and Section 11 naming table.</x:v>
      </x:c>
    </x:row>
    <x:row r="81" ht="82" customHeight="1">
      <x:c r="A81" s="21" t="n">
        <x:v>77</x:v>
      </x:c>
      <x:c r="B81" s="21" t="str">
        <x:v>General</x:v>
      </x:c>
      <x:c r="C81" s="21" t="str">
        <x:v>acs_median_gross_rent</x:v>
      </x:c>
      <x:c r="D81" s="21" t="str">
        <x:v>ACS median gross rent</x:v>
      </x:c>
      <x:c r="E81" s="29" t="str">
        <x:v>Have</x:v>
      </x:c>
      <x:c r="F81" s="29" t="str">
        <x:v>Have</x:v>
      </x:c>
      <x:c r="G81" s="21" t="str">
        <x:v>census_acs_5year_b25064 (U.S. Census Bureau)</x:v>
      </x:c>
      <x:c r="H81" s="21" t="str">
        <x:v>U.S. Census Bureau</x:v>
      </x:c>
      <x:c r="I81" s="33" t="str">
        <x:v>No</x:v>
      </x:c>
      <x:c r="J81" s="21" t="str">
        <x:v>None for this variable in the latest document. This variable/source use is not assigned in the latest Additional Variables document; it is retained from an earlier tracker/method or the repository's existing contract.</x:v>
      </x:c>
      <x:c r="K81" s="21" t="str">
        <x:v>Used for the existing earlier-scope repository variable 'ACS median gross rent': ACS 5-year median gross rent. It is retained for prior requirements and is not evidence of latest-document source compliance.</x:v>
      </x:c>
      <x:c r="L81" s="21" t="str">
        <x:v>county 2010-12-31 to 2024-12-31: 15/15 non-null across 1 geographies | zcta 2011-12-31 to 2024-12-31: 3818/3836 non-null across 274 geographies; 18 source/method null rows</x:v>
      </x:c>
      <x:c r="M81" s="21" t="str">
        <x:v>None beyond source-specific refresh and QA.</x:v>
      </x:c>
      <x:c r="N81" s="21" t="str">
        <x:v>Outside the seven source-scoped groups in Sections 3-9.</x:v>
      </x:c>
    </x:row>
    <x:row r="82" ht="82" customHeight="1">
      <x:c r="A82" s="20" t="n">
        <x:v>78</x:v>
      </x:c>
      <x:c r="B82" s="20" t="str">
        <x:v>General</x:v>
      </x:c>
      <x:c r="C82" s="20" t="str">
        <x:v>acs_median_gross_rent_moe</x:v>
      </x:c>
      <x:c r="D82" s="20" t="str">
        <x:v>ACS median gross rent MOE</x:v>
      </x:c>
      <x:c r="E82" s="29" t="str">
        <x:v>Have</x:v>
      </x:c>
      <x:c r="F82" s="29" t="str">
        <x:v>Have</x:v>
      </x:c>
      <x:c r="G82" s="20" t="str">
        <x:v>census_acs_5year_b25064 (U.S. Census Bureau)</x:v>
      </x:c>
      <x:c r="H82" s="20" t="str">
        <x:v>U.S. Census Bureau</x:v>
      </x:c>
      <x:c r="I82" s="33" t="str">
        <x:v>No</x:v>
      </x:c>
      <x:c r="J82" s="20" t="str">
        <x:v>None for this variable in the latest document. This variable/source use is not assigned in the latest Additional Variables document; it is retained from an earlier tracker/method or the repository's existing contract.</x:v>
      </x:c>
      <x:c r="K82" s="20" t="str">
        <x:v>Used for the existing earlier-scope repository variable 'ACS median gross rent MOE': ACS 5-year margin of error for median gross rent. It is retained for prior requirements and is not evidence of latest-document source compliance.</x:v>
      </x:c>
      <x:c r="L82" s="20" t="str">
        <x:v>county 2010-12-31 to 2024-12-31: 15/15 non-null across 1 geographies | zcta 2011-12-31 to 2024-12-31: 3727/3836 non-null across 274 geographies; 109 source/method null rows</x:v>
      </x:c>
      <x:c r="M82" s="20" t="str">
        <x:v>None beyond source-specific refresh and QA.</x:v>
      </x:c>
      <x:c r="N82" s="20" t="str">
        <x:v>Outside the seven source-scoped groups in Sections 3-9.</x:v>
      </x:c>
    </x:row>
    <x:row r="83" ht="82" customHeight="1">
      <x:c r="A83" s="21" t="n">
        <x:v>79</x:v>
      </x:c>
      <x:c r="B83" s="21" t="str">
        <x:v>General</x:v>
      </x:c>
      <x:c r="C83" s="21" t="str">
        <x:v>acs_median_home_value</x:v>
      </x:c>
      <x:c r="D83" s="21" t="str">
        <x:v>ACS median home value</x:v>
      </x:c>
      <x:c r="E83" s="29" t="str">
        <x:v>Have</x:v>
      </x:c>
      <x:c r="F83" s="29" t="str">
        <x:v>Have</x:v>
      </x:c>
      <x:c r="G83" s="21" t="str">
        <x:v>census_acs_5year_b25077 (U.S. Census Bureau)</x:v>
      </x:c>
      <x:c r="H83" s="21" t="str">
        <x:v>U.S. Census Bureau</x:v>
      </x:c>
      <x:c r="I83" s="33" t="str">
        <x:v>No</x:v>
      </x:c>
      <x:c r="J83" s="21" t="str">
        <x:v>None for this variable in the latest document. This variable/source use is not assigned in the latest Additional Variables document; it is retained from an earlier tracker/method or the repository's existing contract.</x:v>
      </x:c>
      <x:c r="K83" s="21" t="str">
        <x:v>Used for the existing earlier-scope repository variable 'ACS median home value': ACS 5-year median owner-occupied home value. It is retained for prior requirements and is not evidence of latest-document source compliance.</x:v>
      </x:c>
      <x:c r="L83" s="21" t="str">
        <x:v>county 2010-12-31 to 2024-12-31: 15/15 non-null across 1 geographies | zcta 2011-12-31 to 2024-12-31: 3831/3836 non-null across 274 geographies; 5 source/method null rows</x:v>
      </x:c>
      <x:c r="M83" s="21" t="str">
        <x:v>None beyond source-specific refresh and QA.</x:v>
      </x:c>
      <x:c r="N83" s="21" t="str">
        <x:v>Outside the seven source-scoped groups in Sections 3-9.</x:v>
      </x:c>
    </x:row>
    <x:row r="84" ht="82" customHeight="1">
      <x:c r="A84" s="20" t="n">
        <x:v>80</x:v>
      </x:c>
      <x:c r="B84" s="20" t="str">
        <x:v>General</x:v>
      </x:c>
      <x:c r="C84" s="20" t="str">
        <x:v>acs_median_home_value_moe</x:v>
      </x:c>
      <x:c r="D84" s="20" t="str">
        <x:v>ACS median home value MOE</x:v>
      </x:c>
      <x:c r="E84" s="29" t="str">
        <x:v>Have</x:v>
      </x:c>
      <x:c r="F84" s="29" t="str">
        <x:v>Have</x:v>
      </x:c>
      <x:c r="G84" s="20" t="str">
        <x:v>census_acs_5year_b25077 (U.S. Census Bureau)</x:v>
      </x:c>
      <x:c r="H84" s="20" t="str">
        <x:v>U.S. Census Bureau</x:v>
      </x:c>
      <x:c r="I84" s="33" t="str">
        <x:v>No</x:v>
      </x:c>
      <x:c r="J84" s="20" t="str">
        <x:v>None for this variable in the latest document. This variable/source use is not assigned in the latest Additional Variables document; it is retained from an earlier tracker/method or the repository's existing contract.</x:v>
      </x:c>
      <x:c r="K84" s="20" t="str">
        <x:v>Used for the existing earlier-scope repository variable 'ACS median home value MOE': ACS 5-year margin of error for median home value. It is retained for prior requirements and is not evidence of latest-document source compliance.</x:v>
      </x:c>
      <x:c r="L84" s="20" t="str">
        <x:v>county 2010-12-31 to 2024-12-31: 15/15 non-null across 1 geographies | zcta 2011-12-31 to 2024-12-31: 3681/3836 non-null across 274 geographies; 155 source/method null rows</x:v>
      </x:c>
      <x:c r="M84" s="20" t="str">
        <x:v>None beyond source-specific refresh and QA.</x:v>
      </x:c>
      <x:c r="N84" s="20" t="str">
        <x:v>Outside the seven source-scoped groups in Sections 3-9.</x:v>
      </x:c>
    </x:row>
    <x:row r="85" ht="82" customHeight="1">
      <x:c r="A85" s="21" t="n">
        <x:v>81</x:v>
      </x:c>
      <x:c r="B85" s="21" t="str">
        <x:v>General</x:v>
      </x:c>
      <x:c r="C85" s="21" t="str">
        <x:v>acs_owner_units_with_mortgage</x:v>
      </x:c>
      <x:c r="D85" s="21" t="str">
        <x:v>ACS owner units with mortgage</x:v>
      </x:c>
      <x:c r="E85" s="29" t="str">
        <x:v>Have</x:v>
      </x:c>
      <x:c r="F85" s="29" t="str">
        <x:v>Have</x:v>
      </x:c>
      <x:c r="G85" s="21" t="str">
        <x:v>census_acs_5year_b25081 (U.S. Census Bureau)</x:v>
      </x:c>
      <x:c r="H85" s="21" t="str">
        <x:v>U.S. Census Bureau</x:v>
      </x:c>
      <x:c r="I85" s="33" t="str">
        <x:v>No</x:v>
      </x:c>
      <x:c r="J85" s="21" t="str">
        <x:v>None for this variable in the latest document. This variable/source use is not assigned in the latest Additional Variables document; it is retained from an earlier tracker/method or the repository's existing contract.</x:v>
      </x:c>
      <x:c r="K85" s="21" t="str">
        <x:v>Used for the existing earlier-scope repository variable 'ACS owner units with mortgage': ACS 5-year owner-occupied units with a mortgage. It is retained for prior requirements and is not evidence of latest-document source compliance.</x:v>
      </x:c>
      <x:c r="L85" s="21" t="str">
        <x:v>county 2010-12-31 to 2024-12-31: 15/15 non-null across 1 geographies | zcta 2011-12-31 to 2024-12-31: 3836/3836 non-null across 274 geographies</x:v>
      </x:c>
      <x:c r="M85" s="21" t="str">
        <x:v>None beyond source-specific refresh and QA.</x:v>
      </x:c>
      <x:c r="N85" s="21" t="str">
        <x:v>Outside the seven source-scoped groups in Sections 3-9.</x:v>
      </x:c>
    </x:row>
    <x:row r="86" ht="82" customHeight="1">
      <x:c r="A86" s="20" t="n">
        <x:v>82</x:v>
      </x:c>
      <x:c r="B86" s="20" t="str">
        <x:v>General</x:v>
      </x:c>
      <x:c r="C86" s="20" t="str">
        <x:v>acs_owner_units_with_mortgage_moe</x:v>
      </x:c>
      <x:c r="D86" s="20" t="str">
        <x:v>ACS owner units with mortgage MOE</x:v>
      </x:c>
      <x:c r="E86" s="29" t="str">
        <x:v>Have</x:v>
      </x:c>
      <x:c r="F86" s="29" t="str">
        <x:v>Have</x:v>
      </x:c>
      <x:c r="G86" s="20" t="str">
        <x:v>census_acs_5year_b25081 (U.S. Census Bureau)</x:v>
      </x:c>
      <x:c r="H86" s="20" t="str">
        <x:v>U.S. Census Bureau</x:v>
      </x:c>
      <x:c r="I86" s="33" t="str">
        <x:v>No</x:v>
      </x:c>
      <x:c r="J86" s="20" t="str">
        <x:v>None for this variable in the latest document. This variable/source use is not assigned in the latest Additional Variables document; it is retained from an earlier tracker/method or the repository's existing contract.</x:v>
      </x:c>
      <x:c r="K86" s="20" t="str">
        <x:v>Used for the existing earlier-scope repository variable 'ACS owner units with mortgage MOE': ACS 5-year margin of error for owner units with mortgage. It is retained for prior requirements and is not evidence of latest-document source compliance.</x:v>
      </x:c>
      <x:c r="L86" s="20" t="str">
        <x:v>county 2010-12-31 to 2024-12-31: 15/15 non-null across 1 geographies | zcta 2011-12-31 to 2024-12-31: 3836/3836 non-null across 274 geographies</x:v>
      </x:c>
      <x:c r="M86" s="20" t="str">
        <x:v>None beyond source-specific refresh and QA.</x:v>
      </x:c>
      <x:c r="N86" s="20" t="str">
        <x:v>Outside the seven source-scoped groups in Sections 3-9.</x:v>
      </x:c>
    </x:row>
    <x:row r="87" ht="82" customHeight="1">
      <x:c r="A87" s="21" t="n">
        <x:v>83</x:v>
      </x:c>
      <x:c r="B87" s="21" t="str">
        <x:v>General</x:v>
      </x:c>
      <x:c r="C87" s="21" t="str">
        <x:v>down_payment_3_5pct</x:v>
      </x:c>
      <x:c r="D87" s="21" t="str">
        <x:v>Down payment scenario, 3.5% FHA-style</x:v>
      </x:c>
      <x:c r="E87" s="29" t="str">
        <x:v>Have</x:v>
      </x:c>
      <x:c r="F87" s="29" t="str">
        <x:v>Have</x:v>
      </x:c>
      <x:c r="G87" s="21" t="str">
        <x:v>redfin_county_monthly | redfin_zip_monthly (Constructed)</x:v>
      </x:c>
      <x:c r="H87" s="21" t="str">
        <x:v>Constructed</x:v>
      </x:c>
      <x:c r="I87" s="25" t="str">
        <x:v>Partial/context</x:v>
      </x:c>
      <x:c r="J87" s="21" t="str">
        <x:v>No down-payment or estimated-mortgage-amount source specified. The document references down-payment and estimated-mortgage-amount inputs, but does not specify their source or construction method.</x:v>
      </x:c>
      <x:c r="K87" s="21" t="str">
        <x:v>Scenario down payment equal to 3.5 percent of Redfin county median sale price.. The current source is usable for this labeled contextual/earlier field only; the latest document does not fully authorize this exact variable-use.</x:v>
      </x:c>
      <x:c r="L87" s="21" t="str">
        <x:v>173 LA County months, 2012-01 through 2026-05</x:v>
      </x:c>
      <x:c r="M87" s="21" t="str">
        <x:v>None beyond source-specific refresh and QA.</x:v>
      </x:c>
      <x:c r="N87" s="21" t="str">
        <x:v>Section 3 formula and construction items 6-7.</x:v>
      </x:c>
    </x:row>
    <x:row r="88" ht="82" customHeight="1">
      <x:c r="A88" s="20" t="n">
        <x:v>84</x:v>
      </x:c>
      <x:c r="B88" s="20" t="str">
        <x:v>General</x:v>
      </x:c>
      <x:c r="C88" s="20" t="str">
        <x:v>down_payment_10pct</x:v>
      </x:c>
      <x:c r="D88" s="20" t="str">
        <x:v>Down payment scenario, 10%</x:v>
      </x:c>
      <x:c r="E88" s="29" t="str">
        <x:v>Have</x:v>
      </x:c>
      <x:c r="F88" s="29" t="str">
        <x:v>Have</x:v>
      </x:c>
      <x:c r="G88" s="20" t="str">
        <x:v>redfin_county_monthly | redfin_zip_monthly (Constructed)</x:v>
      </x:c>
      <x:c r="H88" s="20" t="str">
        <x:v>Constructed</x:v>
      </x:c>
      <x:c r="I88" s="25" t="str">
        <x:v>Partial/context</x:v>
      </x:c>
      <x:c r="J88" s="20" t="str">
        <x:v>No down-payment or estimated-mortgage-amount source specified. The document references down-payment and estimated-mortgage-amount inputs, but does not specify their source or construction method.</x:v>
      </x:c>
      <x:c r="K88" s="20" t="str">
        <x:v>Scenario down payment equal to 10 percent of Redfin county median sale price.. The current source is usable for this labeled contextual/earlier field only; the latest document does not fully authorize this exact variable-use.</x:v>
      </x:c>
      <x:c r="L88" s="20" t="str">
        <x:v>173 LA County months, 2012-01 through 2026-05</x:v>
      </x:c>
      <x:c r="M88" s="20" t="str">
        <x:v>None beyond source-specific refresh and QA.</x:v>
      </x:c>
      <x:c r="N88" s="20" t="str">
        <x:v>Section 3 formula and construction items 6-7.</x:v>
      </x:c>
    </x:row>
    <x:row r="89" ht="82" customHeight="1">
      <x:c r="A89" s="21" t="n">
        <x:v>85</x:v>
      </x:c>
      <x:c r="B89" s="21" t="str">
        <x:v>General</x:v>
      </x:c>
      <x:c r="C89" s="21" t="str">
        <x:v>down_payment_20pct</x:v>
      </x:c>
      <x:c r="D89" s="21" t="str">
        <x:v>Down payment scenario, 20%</x:v>
      </x:c>
      <x:c r="E89" s="29" t="str">
        <x:v>Have</x:v>
      </x:c>
      <x:c r="F89" s="29" t="str">
        <x:v>Have</x:v>
      </x:c>
      <x:c r="G89" s="21" t="str">
        <x:v>redfin_county_monthly | redfin_zip_monthly (Constructed)</x:v>
      </x:c>
      <x:c r="H89" s="21" t="str">
        <x:v>Constructed</x:v>
      </x:c>
      <x:c r="I89" s="25" t="str">
        <x:v>Partial/context</x:v>
      </x:c>
      <x:c r="J89" s="21" t="str">
        <x:v>No down-payment or estimated-mortgage-amount source specified. The document references down-payment and estimated-mortgage-amount inputs, but does not specify their source or construction method.</x:v>
      </x:c>
      <x:c r="K89" s="21" t="str">
        <x:v>Scenario down payment equal to 20 percent of Redfin county median sale price.. The current source is usable for this labeled contextual/earlier field only; the latest document does not fully authorize this exact variable-use.</x:v>
      </x:c>
      <x:c r="L89" s="21" t="str">
        <x:v>173 LA County months, 2012-01 through 2026-05</x:v>
      </x:c>
      <x:c r="M89" s="21" t="str">
        <x:v>None beyond source-specific refresh and QA.</x:v>
      </x:c>
      <x:c r="N89" s="21" t="str">
        <x:v>Section 3 formula and construction items 6-7.</x:v>
      </x:c>
    </x:row>
    <x:row r="90" ht="82" customHeight="1">
      <x:c r="A90" s="20" t="n">
        <x:v>86</x:v>
      </x:c>
      <x:c r="B90" s="20" t="str">
        <x:v>General</x:v>
      </x:c>
      <x:c r="C90" s="20" t="str">
        <x:v>closing_cost_2pct</x:v>
      </x:c>
      <x:c r="D90" s="20" t="str">
        <x:v>Closing cost scenario, 2%</x:v>
      </x:c>
      <x:c r="E90" s="29" t="str">
        <x:v>Have</x:v>
      </x:c>
      <x:c r="F90" s="29" t="str">
        <x:v>Have</x:v>
      </x:c>
      <x:c r="G90" s="20" t="str">
        <x:v>redfin_county_monthly | redfin_zip_monthly (Constructed)</x:v>
      </x:c>
      <x:c r="H90" s="20" t="str">
        <x:v>Constructed</x:v>
      </x:c>
      <x:c r="I90" s="29" t="str">
        <x:v>Yes</x:v>
      </x:c>
      <x:c r="J90" s="20" t="str">
        <x:v>Redfin median sale price for sale-price scenarios; FHFA 3%-6% guidance for loan-based sensitivity; CFPB guidance/benchmark only. Explicit closing-cost/cash-to-close scenario or sensitivity.</x:v>
      </x:c>
      <x:c r="K90" s="20" t="str">
        <x:v>Scenario closing costs equal to 2 percent of Redfin county median sale price.. Used within the latest document's stated variable-specific role and limitations.</x:v>
      </x:c>
      <x:c r="L90" s="20" t="str">
        <x:v>Current repository output has at least one non-null value. Coverage follows the upstream source/output table; missing-value rule: preserve null when inputs missing.</x:v>
      </x:c>
      <x:c r="M90" s="20" t="str">
        <x:v>None beyond source-specific refresh and QA.</x:v>
      </x:c>
      <x:c r="N90" s="20" t="str">
        <x:v>Sections 3 and 11; status-summary closing-cost row.</x:v>
      </x:c>
    </x:row>
    <x:row r="91" ht="82" customHeight="1">
      <x:c r="A91" s="21" t="n">
        <x:v>87</x:v>
      </x:c>
      <x:c r="B91" s="21" t="str">
        <x:v>General</x:v>
      </x:c>
      <x:c r="C91" s="21" t="str">
        <x:v>closing_cost_3pct</x:v>
      </x:c>
      <x:c r="D91" s="21" t="str">
        <x:v>Closing cost scenario, 3%</x:v>
      </x:c>
      <x:c r="E91" s="29" t="str">
        <x:v>Have</x:v>
      </x:c>
      <x:c r="F91" s="29" t="str">
        <x:v>Have</x:v>
      </x:c>
      <x:c r="G91" s="21" t="str">
        <x:v>redfin_county_monthly | redfin_zip_monthly (Constructed)</x:v>
      </x:c>
      <x:c r="H91" s="21" t="str">
        <x:v>Constructed</x:v>
      </x:c>
      <x:c r="I91" s="29" t="str">
        <x:v>Yes</x:v>
      </x:c>
      <x:c r="J91" s="21" t="str">
        <x:v>Redfin median sale price for sale-price scenarios; FHFA 3%-6% guidance for loan-based sensitivity; CFPB guidance/benchmark only. Explicit closing-cost/cash-to-close scenario or sensitivity.</x:v>
      </x:c>
      <x:c r="K91" s="21" t="str">
        <x:v>Scenario closing costs equal to 3 percent of Redfin county median sale price.. Used within the latest document's stated variable-specific role and limitations.</x:v>
      </x:c>
      <x:c r="L91" s="21" t="str">
        <x:v>Current repository output has at least one non-null value. Coverage follows the upstream source/output table; missing-value rule: preserve null when inputs missing.</x:v>
      </x:c>
      <x:c r="M91" s="21" t="str">
        <x:v>None beyond source-specific refresh and QA.</x:v>
      </x:c>
      <x:c r="N91" s="21" t="str">
        <x:v>Sections 3 and 11; status-summary closing-cost row.</x:v>
      </x:c>
    </x:row>
    <x:row r="92" ht="82" customHeight="1">
      <x:c r="A92" s="20" t="n">
        <x:v>88</x:v>
      </x:c>
      <x:c r="B92" s="20" t="str">
        <x:v>General</x:v>
      </x:c>
      <x:c r="C92" s="20" t="str">
        <x:v>closing_cost_5pct</x:v>
      </x:c>
      <x:c r="D92" s="20" t="str">
        <x:v>Closing cost scenario, 5%</x:v>
      </x:c>
      <x:c r="E92" s="29" t="str">
        <x:v>Have</x:v>
      </x:c>
      <x:c r="F92" s="29" t="str">
        <x:v>Have</x:v>
      </x:c>
      <x:c r="G92" s="20" t="str">
        <x:v>redfin_county_monthly | redfin_zip_monthly (Constructed)</x:v>
      </x:c>
      <x:c r="H92" s="20" t="str">
        <x:v>Constructed</x:v>
      </x:c>
      <x:c r="I92" s="29" t="str">
        <x:v>Yes</x:v>
      </x:c>
      <x:c r="J92" s="20" t="str">
        <x:v>Redfin median sale price for sale-price scenarios; FHFA 3%-6% guidance for loan-based sensitivity; CFPB guidance/benchmark only. Explicit closing-cost/cash-to-close scenario or sensitivity.</x:v>
      </x:c>
      <x:c r="K92" s="20" t="str">
        <x:v>Scenario closing costs equal to 5 percent of Redfin county median sale price.. Used within the latest document's stated variable-specific role and limitations.</x:v>
      </x:c>
      <x:c r="L92" s="20" t="str">
        <x:v>Current repository output has at least one non-null value. Coverage follows the upstream source/output table; missing-value rule: preserve null when inputs missing.</x:v>
      </x:c>
      <x:c r="M92" s="20" t="str">
        <x:v>None beyond source-specific refresh and QA.</x:v>
      </x:c>
      <x:c r="N92" s="20" t="str">
        <x:v>Sections 3 and 11; status-summary closing-cost row.</x:v>
      </x:c>
    </x:row>
    <x:row r="93" ht="82" customHeight="1">
      <x:c r="A93" s="21" t="n">
        <x:v>89</x:v>
      </x:c>
      <x:c r="B93" s="21" t="str">
        <x:v>General</x:v>
      </x:c>
      <x:c r="C93" s="21" t="str">
        <x:v>closing_cost_saleprice_2pct</x:v>
      </x:c>
      <x:c r="D93" s="21" t="str">
        <x:v>Buyer closing-cost scenario, 2% of sale price</x:v>
      </x:c>
      <x:c r="E93" s="29" t="str">
        <x:v>Have</x:v>
      </x:c>
      <x:c r="F93" s="29" t="str">
        <x:v>Have</x:v>
      </x:c>
      <x:c r="G93" s="21" t="str">
        <x:v>redfin_county_monthly | redfin_zip_monthly (Constructed from Redfin Data Center)</x:v>
      </x:c>
      <x:c r="H93" s="21" t="str">
        <x:v>Constructed from Redfin Data Center</x:v>
      </x:c>
      <x:c r="I93" s="29" t="str">
        <x:v>Yes</x:v>
      </x:c>
      <x:c r="J93" s="21" t="str">
        <x:v>Redfin median sale price for sale-price scenarios; FHFA 3%-6% guidance for loan-based sensitivity; CFPB guidance/benchmark only. Explicit closing-cost/cash-to-close scenario or sensitivity.</x:v>
      </x:c>
      <x:c r="K93" s="21" t="str">
        <x:v>Scenario closing costs equal to 2 percent of the matched Redfin median sale price.. Used within the latest document's stated variable-specific role and limitations.</x:v>
      </x:c>
      <x:c r="L93" s="21" t="str">
        <x:v>173 LA County sale-price observations and 22,946 postal-ZIP rolling-three-month sale-price observations; canonical 2%/3%/5% fields plus the long scenario layer Gap: ZIP values inherit Redfin provider gaps and overlapping rolling-three-month windows.</x:v>
      </x:c>
      <x:c r="M93" s="21" t="str">
        <x:v>None beyond source-specific refresh and QA.</x:v>
      </x:c>
      <x:c r="N93" s="21" t="str">
        <x:v>Sections 3 and 11; status-summary closing-cost row.</x:v>
      </x:c>
    </x:row>
    <x:row r="94" ht="82" customHeight="1">
      <x:c r="A94" s="20" t="n">
        <x:v>90</x:v>
      </x:c>
      <x:c r="B94" s="20" t="str">
        <x:v>General</x:v>
      </x:c>
      <x:c r="C94" s="20" t="str">
        <x:v>closing_cost_saleprice_3pct</x:v>
      </x:c>
      <x:c r="D94" s="20" t="str">
        <x:v>Buyer closing-cost scenario, 3% of sale price</x:v>
      </x:c>
      <x:c r="E94" s="29" t="str">
        <x:v>Have</x:v>
      </x:c>
      <x:c r="F94" s="29" t="str">
        <x:v>Have</x:v>
      </x:c>
      <x:c r="G94" s="20" t="str">
        <x:v>redfin_county_monthly | redfin_zip_monthly (Constructed from Redfin Data Center)</x:v>
      </x:c>
      <x:c r="H94" s="20" t="str">
        <x:v>Constructed from Redfin Data Center</x:v>
      </x:c>
      <x:c r="I94" s="29" t="str">
        <x:v>Yes</x:v>
      </x:c>
      <x:c r="J94" s="20" t="str">
        <x:v>Redfin median sale price for sale-price scenarios; FHFA 3%-6% guidance for loan-based sensitivity; CFPB guidance/benchmark only. Explicit closing-cost/cash-to-close scenario or sensitivity.</x:v>
      </x:c>
      <x:c r="K94" s="20" t="str">
        <x:v>Scenario closing costs equal to 3 percent of the matched Redfin median sale price.. Used within the latest document's stated variable-specific role and limitations.</x:v>
      </x:c>
      <x:c r="L94" s="20" t="str">
        <x:v>173 LA County sale-price observations and 22,946 postal-ZIP rolling-three-month sale-price observations; canonical 2%/3%/5% fields plus the long scenario layer Gap: ZIP values inherit Redfin provider gaps and overlapping rolling-three-month windows.</x:v>
      </x:c>
      <x:c r="M94" s="20" t="str">
        <x:v>None beyond source-specific refresh and QA.</x:v>
      </x:c>
      <x:c r="N94" s="20" t="str">
        <x:v>Sections 3 and 11; status-summary closing-cost row.</x:v>
      </x:c>
    </x:row>
    <x:row r="95" ht="82" customHeight="1">
      <x:c r="A95" s="21" t="n">
        <x:v>91</x:v>
      </x:c>
      <x:c r="B95" s="21" t="str">
        <x:v>General</x:v>
      </x:c>
      <x:c r="C95" s="21" t="str">
        <x:v>closing_cost_saleprice_5pct</x:v>
      </x:c>
      <x:c r="D95" s="21" t="str">
        <x:v>Buyer closing-cost scenario, 5% of sale price</x:v>
      </x:c>
      <x:c r="E95" s="29" t="str">
        <x:v>Have</x:v>
      </x:c>
      <x:c r="F95" s="29" t="str">
        <x:v>Have</x:v>
      </x:c>
      <x:c r="G95" s="21" t="str">
        <x:v>redfin_county_monthly | redfin_zip_monthly (Constructed from Redfin Data Center)</x:v>
      </x:c>
      <x:c r="H95" s="21" t="str">
        <x:v>Constructed from Redfin Data Center</x:v>
      </x:c>
      <x:c r="I95" s="29" t="str">
        <x:v>Yes</x:v>
      </x:c>
      <x:c r="J95" s="21" t="str">
        <x:v>Redfin median sale price for sale-price scenarios; FHFA 3%-6% guidance for loan-based sensitivity; CFPB guidance/benchmark only. Explicit closing-cost/cash-to-close scenario or sensitivity.</x:v>
      </x:c>
      <x:c r="K95" s="21" t="str">
        <x:v>Scenario closing costs equal to 5 percent of the matched Redfin median sale price.. Used within the latest document's stated variable-specific role and limitations.</x:v>
      </x:c>
      <x:c r="L95" s="21" t="str">
        <x:v>173 LA County sale-price observations and 22,946 postal-ZIP rolling-three-month sale-price observations; canonical 2%/3%/5% fields plus the long scenario layer Gap: ZIP values inherit Redfin provider gaps and overlapping rolling-three-month windows.</x:v>
      </x:c>
      <x:c r="M95" s="21" t="str">
        <x:v>None beyond source-specific refresh and QA.</x:v>
      </x:c>
      <x:c r="N95" s="21" t="str">
        <x:v>Sections 3 and 11; status-summary closing-cost row.</x:v>
      </x:c>
    </x:row>
    <x:row r="96" ht="82" customHeight="1">
      <x:c r="A96" s="20" t="n">
        <x:v>92</x:v>
      </x:c>
      <x:c r="B96" s="20" t="str">
        <x:v>General</x:v>
      </x:c>
      <x:c r="C96" s="20" t="str">
        <x:v>estimated_mortgage_amount_scenario</x:v>
      </x:c>
      <x:c r="D96" s="20" t="str">
        <x:v>Estimated mortgage amount scenario</x:v>
      </x:c>
      <x:c r="E96" s="29" t="str">
        <x:v>Have</x:v>
      </x:c>
      <x:c r="F96" s="29" t="str">
        <x:v>Have</x:v>
      </x:c>
      <x:c r="G96" s="20" t="str">
        <x:v>redfin_county_monthly | redfin_zip_monthly (Constructed from Redfin Data Center)</x:v>
      </x:c>
      <x:c r="H96" s="20" t="str">
        <x:v>Constructed from Redfin Data Center</x:v>
      </x:c>
      <x:c r="I96" s="25" t="str">
        <x:v>Partial/context</x:v>
      </x:c>
      <x:c r="J96" s="20" t="str">
        <x:v>No down-payment or estimated-mortgage-amount source specified. The document references down-payment and estimated-mortgage-amount inputs, but does not specify their source or construction method.</x:v>
      </x:c>
      <x:c r="K96" s="20" t="str">
        <x:v>Positive Redfin median sale price multiplied by one minus the explicitly keyed down-payment share.. The current source is usable for this labeled contextual/earlier field only; the latest document does not fully authorize this exact variable-use.</x:v>
      </x:c>
      <x:c r="L96" s="20" t="str">
        <x:v>Current repository output has at least one non-null value. Coverage follows the upstream source/output table; missing-value rule: preserve null or omit scenario row when source price is missing or nonpositive.</x:v>
      </x:c>
      <x:c r="M96" s="20" t="str">
        <x:v>None beyond source-specific refresh and QA.</x:v>
      </x:c>
      <x:c r="N96" s="20" t="str">
        <x:v>Section 3 formula and construction items 6-7.</x:v>
      </x:c>
    </x:row>
    <x:row r="97" ht="82" customHeight="1">
      <x:c r="A97" s="21" t="n">
        <x:v>93</x:v>
      </x:c>
      <x:c r="B97" s="21" t="str">
        <x:v>General</x:v>
      </x:c>
      <x:c r="C97" s="21" t="str">
        <x:v>closing_cost_loan_3pct</x:v>
      </x:c>
      <x:c r="D97" s="21" t="str">
        <x:v>Loan-based closing-cost sensitivity, 3%</x:v>
      </x:c>
      <x:c r="E97" s="29" t="str">
        <x:v>Have</x:v>
      </x:c>
      <x:c r="F97" s="29" t="str">
        <x:v>Have</x:v>
      </x:c>
      <x:c r="G97" s="21" t="str">
        <x:v>redfin_county_monthly | redfin_zip_monthly (Constructed from Redfin Data Center; range from FHFA guidance)</x:v>
      </x:c>
      <x:c r="H97" s="21" t="str">
        <x:v>Constructed from Redfin Data Center; range from FHFA guidance</x:v>
      </x:c>
      <x:c r="I97" s="29" t="str">
        <x:v>Yes</x:v>
      </x:c>
      <x:c r="J97" s="21" t="str">
        <x:v>Redfin median sale price for sale-price scenarios; FHFA 3%-6% guidance for loan-based sensitivity; CFPB guidance/benchmark only. Explicit closing-cost/cash-to-close scenario or sensitivity.</x:v>
      </x:c>
      <x:c r="K97" s="21" t="str">
        <x:v>Scenario closing costs equal to 3 percent of the explicitly keyed estimated mortgage amount.. Used within the latest document's stated variable-specific role and limitations.</x:v>
      </x:c>
      <x:c r="L97" s="21" t="str">
        <x:v>All positive Redfin price observations crossed with three down-payment and two loan-cost scenarios Gap: ZIP coverage inherits source nulls and rolling-three-month windows.</x:v>
      </x:c>
      <x:c r="M97" s="21" t="str">
        <x:v>None beyond source-specific refresh and QA.</x:v>
      </x:c>
      <x:c r="N97" s="21" t="str">
        <x:v>Sections 3 and 11; status-summary closing-cost row.</x:v>
      </x:c>
    </x:row>
    <x:row r="98" ht="82" customHeight="1">
      <x:c r="A98" s="20" t="n">
        <x:v>94</x:v>
      </x:c>
      <x:c r="B98" s="20" t="str">
        <x:v>General</x:v>
      </x:c>
      <x:c r="C98" s="20" t="str">
        <x:v>closing_cost_loan_6pct</x:v>
      </x:c>
      <x:c r="D98" s="20" t="str">
        <x:v>Loan-based closing-cost sensitivity, 6%</x:v>
      </x:c>
      <x:c r="E98" s="29" t="str">
        <x:v>Have</x:v>
      </x:c>
      <x:c r="F98" s="29" t="str">
        <x:v>Have</x:v>
      </x:c>
      <x:c r="G98" s="20" t="str">
        <x:v>redfin_county_monthly | redfin_zip_monthly (Constructed from Redfin Data Center; range from FHFA guidance)</x:v>
      </x:c>
      <x:c r="H98" s="20" t="str">
        <x:v>Constructed from Redfin Data Center; range from FHFA guidance</x:v>
      </x:c>
      <x:c r="I98" s="29" t="str">
        <x:v>Yes</x:v>
      </x:c>
      <x:c r="J98" s="20" t="str">
        <x:v>Redfin median sale price for sale-price scenarios; FHFA 3%-6% guidance for loan-based sensitivity; CFPB guidance/benchmark only. Explicit closing-cost/cash-to-close scenario or sensitivity.</x:v>
      </x:c>
      <x:c r="K98" s="20" t="str">
        <x:v>Scenario closing costs equal to 6 percent of the explicitly keyed estimated mortgage amount.. Used within the latest document's stated variable-specific role and limitations.</x:v>
      </x:c>
      <x:c r="L98" s="20" t="str">
        <x:v>All positive Redfin price observations crossed with three down-payment and two loan-cost scenarios Gap: ZIP coverage inherits source nulls and rolling-three-month windows.</x:v>
      </x:c>
      <x:c r="M98" s="20" t="str">
        <x:v>None beyond source-specific refresh and QA.</x:v>
      </x:c>
      <x:c r="N98" s="20" t="str">
        <x:v>Sections 3 and 11; status-summary closing-cost row.</x:v>
      </x:c>
    </x:row>
    <x:row r="99" ht="82" customHeight="1">
      <x:c r="A99" s="21" t="n">
        <x:v>95</x:v>
      </x:c>
      <x:c r="B99" s="21" t="str">
        <x:v>General</x:v>
      </x:c>
      <x:c r="C99" s="21" t="str">
        <x:v>total_cash_to_close_scenario</x:v>
      </x:c>
      <x:c r="D99" s="21" t="str">
        <x:v>Total cash-to-close scenario</x:v>
      </x:c>
      <x:c r="E99" s="29" t="str">
        <x:v>Have</x:v>
      </x:c>
      <x:c r="F99" s="29" t="str">
        <x:v>Have</x:v>
      </x:c>
      <x:c r="G99" s="21" t="str">
        <x:v>redfin_county_monthly | redfin_zip_monthly (Constructed from Redfin Data Center)</x:v>
      </x:c>
      <x:c r="H99" s="21" t="str">
        <x:v>Constructed from Redfin Data Center</x:v>
      </x:c>
      <x:c r="I99" s="29" t="str">
        <x:v>Yes</x:v>
      </x:c>
      <x:c r="J99" s="21" t="str">
        <x:v>Redfin median sale price for sale-price scenarios; FHFA 3%-6% guidance for loan-based sensitivity; CFPB guidance/benchmark only. Explicit closing-cost/cash-to-close scenario or sensitivity.</x:v>
      </x:c>
      <x:c r="K99" s="21" t="str">
        <x:v>Explicit down-payment amount plus the paired sale-price- or loan-amount-based closing-cost scenario.. Used within the latest document's stated variable-specific role and limitations.</x:v>
      </x:c>
      <x:c r="L99" s="21" t="str">
        <x:v>346,785 keyed rows: 2,595 county and 344,190 postal-ZIP scenario rows Gap: ZIP coverage inherits source nulls and rolling-three-month windows; prepaid escrow remains excluded.</x:v>
      </x:c>
      <x:c r="M99" s="21" t="str">
        <x:v>None beyond source-specific refresh and QA.</x:v>
      </x:c>
      <x:c r="N99" s="21" t="str">
        <x:v>Sections 3 and 11; status-summary closing-cost row.</x:v>
      </x:c>
    </x:row>
    <x:row r="100" ht="82" customHeight="1">
      <x:c r="A100" s="20" t="n">
        <x:v>96</x:v>
      </x:c>
      <x:c r="B100" s="20" t="str">
        <x:v>General</x:v>
      </x:c>
      <x:c r="C100" s="20" t="str">
        <x:v>mortgage_payment_3_5pct_down</x:v>
      </x:c>
      <x:c r="D100" s="20" t="str">
        <x:v>Monthly mortgage payment, 3.5% down</x:v>
      </x:c>
      <x:c r="E100" s="29" t="str">
        <x:v>Have</x:v>
      </x:c>
      <x:c r="F100" s="29" t="str">
        <x:v>Have</x:v>
      </x:c>
      <x:c r="G100" s="20" t="str">
        <x:v>freddie_mac_pmms | redfin_county_monthly (Constructed)</x:v>
      </x:c>
      <x:c r="H100" s="20" t="str">
        <x:v>Constructed</x:v>
      </x:c>
      <x:c r="I100" s="33" t="str">
        <x:v>No</x:v>
      </x:c>
      <x:c r="J100" s="20" t="str">
        <x:v>None for this variable in the latest document. This variable/source use is not assigned in the latest Additional Variables document; it is retained from an earlier tracker/method or the repository's existing contract.</x:v>
      </x:c>
      <x:c r="K100" s="20" t="str">
        <x:v>Used for the existing earlier-scope repository variable 'Monthly mortgage payment, 3.5% down': Constructed principal-and-interest payment using Redfin median sale price, Freddie Mac monthly average 30-year rate, 30-year term, and 3.5 percent down.. It is retained for prior requirements and is not evidence of latest-document source compliance.</x:v>
      </x:c>
      <x:c r="L100" s="20" t="str">
        <x:v>173 LA County months, 2012-01 through 2026-05</x:v>
      </x:c>
      <x:c r="M100" s="20" t="str">
        <x:v>None beyond source-specific refresh and QA.</x:v>
      </x:c>
      <x:c r="N100" s="20" t="str">
        <x:v>Outside the seven source-scoped groups in Sections 3-9.</x:v>
      </x:c>
    </x:row>
    <x:row r="101" ht="82" customHeight="1">
      <x:c r="A101" s="21" t="n">
        <x:v>97</x:v>
      </x:c>
      <x:c r="B101" s="21" t="str">
        <x:v>General</x:v>
      </x:c>
      <x:c r="C101" s="21" t="str">
        <x:v>mortgage_payment_to_rent_3_5pct_down</x:v>
      </x:c>
      <x:c r="D101" s="21" t="str">
        <x:v>Mortgage payment-to-rent ratio, 3.5% down</x:v>
      </x:c>
      <x:c r="E101" s="29" t="str">
        <x:v>Have</x:v>
      </x:c>
      <x:c r="F101" s="29" t="str">
        <x:v>Have</x:v>
      </x:c>
      <x:c r="G101" s="21" t="str">
        <x:v>freddie_mac_pmms | redfin_county_monthly | zillow_county_zori_smoothed_sa (Constructed)</x:v>
      </x:c>
      <x:c r="H101" s="21" t="str">
        <x:v>Constructed</x:v>
      </x:c>
      <x:c r="I101" s="33" t="str">
        <x:v>No</x:v>
      </x:c>
      <x:c r="J101" s="21" t="str">
        <x:v>None for this variable in the latest document. This variable/source use is not assigned in the latest Additional Variables document; it is retained from an earlier tracker/method or the repository's existing contract.</x:v>
      </x:c>
      <x:c r="K101" s="21" t="str">
        <x:v>Used for the existing earlier-scope repository variable 'Mortgage payment-to-rent ratio, 3.5% down': Constructed ratio of 3.5 percent down mortgage payment to ZORI rent.. It is retained for prior requirements and is not evidence of latest-document source compliance.</x:v>
      </x:c>
      <x:c r="L101" s="21" t="str">
        <x:v>Current repository output has at least one non-null value. Coverage follows the upstream source/output table; missing-value rule: preserve null when inputs missing.</x:v>
      </x:c>
      <x:c r="M101" s="21" t="str">
        <x:v>None beyond source-specific refresh and QA.</x:v>
      </x:c>
      <x:c r="N101" s="21" t="str">
        <x:v>Outside the seven source-scoped groups in Sections 3-9.</x:v>
      </x:c>
    </x:row>
    <x:row r="102" ht="82" customHeight="1">
      <x:c r="A102" s="20" t="n">
        <x:v>98</x:v>
      </x:c>
      <x:c r="B102" s="20" t="str">
        <x:v>General</x:v>
      </x:c>
      <x:c r="C102" s="20" t="str">
        <x:v>sales_to_inventory_ratio</x:v>
      </x:c>
      <x:c r="D102" s="20" t="str">
        <x:v>Sales-to-inventory ratio</x:v>
      </x:c>
      <x:c r="E102" s="29" t="str">
        <x:v>Have</x:v>
      </x:c>
      <x:c r="F102" s="29" t="str">
        <x:v>Have</x:v>
      </x:c>
      <x:c r="G102" s="20" t="str">
        <x:v>redfin_county_monthly (Constructed)</x:v>
      </x:c>
      <x:c r="H102" s="20" t="str">
        <x:v>Constructed</x:v>
      </x:c>
      <x:c r="I102" s="33" t="str">
        <x:v>No</x:v>
      </x:c>
      <x:c r="J102" s="20" t="str">
        <x:v>None for this variable in the latest document. This variable/source use is not assigned in the latest Additional Variables document; it is retained from an earlier tracker/method or the repository's existing contract.</x:v>
      </x:c>
      <x:c r="K102" s="20" t="str">
        <x:v>Used for the existing earlier-scope repository variable 'Sales-to-inventory ratio': Redfin county homes sold divided by active inventory; liquidity measure, not housing-stock turnover.. It is retained for prior requirements and is not evidence of latest-document source compliance.</x:v>
      </x:c>
      <x:c r="L102" s="20" t="str">
        <x:v>173 LA County months, 2012-01 through 2026-05 Gap: The listed proxy measures sales/inventory liquidity, not sales divided by the total housing stock.</x:v>
      </x:c>
      <x:c r="M102" s="20" t="str">
        <x:v>None beyond source-specific refresh and QA.</x:v>
      </x:c>
      <x:c r="N102" s="20" t="str">
        <x:v>Outside the seven source-scoped groups in Sections 3-9.</x:v>
      </x:c>
    </x:row>
    <x:row r="103" ht="82" customHeight="1">
      <x:c r="A103" s="21" t="n">
        <x:v>99</x:v>
      </x:c>
      <x:c r="B103" s="21" t="str">
        <x:v>General</x:v>
      </x:c>
      <x:c r="C103" s="21" t="str">
        <x:v>net_change_occupied_apartments_annual</x:v>
      </x:c>
      <x:c r="D103" s="21" t="str">
        <x:v>ACS renter-occupied units vintage-to-vintage change</x:v>
      </x:c>
      <x:c r="E103" s="29" t="str">
        <x:v>Have</x:v>
      </x:c>
      <x:c r="F103" s="25" t="str">
        <x:v>Partial</x:v>
      </x:c>
      <x:c r="G103" s="21" t="str">
        <x:v>census_acs_5year_b25003 (Constructed from U.S. Census Bureau ACS)</x:v>
      </x:c>
      <x:c r="H103" s="21" t="str">
        <x:v>Constructed from U.S. Census Bureau ACS</x:v>
      </x:c>
      <x:c r="I103" s="33" t="str">
        <x:v>No</x:v>
      </x:c>
      <x:c r="J103" s="21" t="str">
        <x:v>None for this variable in the latest document. This variable/source use is not assigned in the latest Additional Variables document; it is retained from an earlier tracker/method or the repository's existing contract.</x:v>
      </x:c>
      <x:c r="K103" s="21" t="str">
        <x:v>Used for the existing earlier-scope repository variable 'ACS renter-occupied units vintage-to-vintage change': Difference between consecutive annual ACS B25003 five-year estimates of renter-occupied units for Los Angeles County.. It is retained for prior requirements and is not evidence of latest-document source compliance.</x:v>
      </x:c>
      <x:c r="L103" s="21"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03" s="21" t="str">
        <x:v>Frequency / geography methodology decision: Approve an explicit quarterly timing treatment only if the research design requires one; retain both completed annual controls at native ACS-vintage frequency.</x:v>
      </x:c>
      <x:c r="N103" s="21" t="str">
        <x:v>Outside the seven source-scoped groups in Sections 3-9.</x:v>
      </x:c>
    </x:row>
    <x:row r="104" ht="82" customHeight="1">
      <x:c r="A104" s="20" t="n">
        <x:v>100</x:v>
      </x:c>
      <x:c r="B104" s="20" t="str">
        <x:v>General</x:v>
      </x:c>
      <x:c r="C104" s="20" t="str">
        <x:v>county_annual_price_to_income_acs</x:v>
      </x:c>
      <x:c r="D104" s="20" t="str">
        <x:v>ACS county annual price-to-income ratio</x:v>
      </x:c>
      <x:c r="E104" s="29" t="str">
        <x:v>Have</x:v>
      </x:c>
      <x:c r="F104" s="25" t="str">
        <x:v>Partial</x:v>
      </x:c>
      <x:c r="G104" s="20" t="str">
        <x:v>census_acs_5year_b19013 | census_acs_5year_b25077 (Constructed)</x:v>
      </x:c>
      <x:c r="H104" s="20" t="str">
        <x:v>Constructed</x:v>
      </x:c>
      <x:c r="I104" s="33" t="str">
        <x:v>No</x:v>
      </x:c>
      <x:c r="J104" s="20" t="str">
        <x:v>None for this variable in the latest document. This variable/source use is not assigned in the latest Additional Variables document; it is retained from an earlier tracker/method or the repository's existing contract.</x:v>
      </x:c>
      <x:c r="K104" s="20" t="str">
        <x:v>Used for the existing earlier-scope repository variable 'ACS county annual price-to-income ratio': ACS median home value divided by ACS median household income at annual 5-year-estimate frequency.. It is retained for prior requirements and is not evidence of latest-document source compliance.</x:v>
      </x:c>
      <x:c r="L104" s="20"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4" s="20" t="str">
        <x:v>Frequency / geography methodology decision: Decide whether the annual ratio remains an annual control or enters a separately labeled mixed-frequency model.</x:v>
      </x:c>
      <x:c r="N104" s="20" t="str">
        <x:v>Outside the seven source-scoped groups in Sections 3-9.</x:v>
      </x:c>
    </x:row>
    <x:row r="105" ht="82" customHeight="1">
      <x:c r="A105" s="21" t="n">
        <x:v>101</x:v>
      </x:c>
      <x:c r="B105" s="21" t="str">
        <x:v>General</x:v>
      </x:c>
      <x:c r="C105" s="21" t="str">
        <x:v>zcta_annual_price_to_income_acs</x:v>
      </x:c>
      <x:c r="D105" s="21" t="str">
        <x:v>ACS ZCTA annual price-to-income ratio</x:v>
      </x:c>
      <x:c r="E105" s="29" t="str">
        <x:v>Have</x:v>
      </x:c>
      <x:c r="F105" s="25" t="str">
        <x:v>Partial</x:v>
      </x:c>
      <x:c r="G105" s="21" t="str">
        <x:v>census_acs_5year_b19013 | census_acs_5year_b25077 (Constructed from U.S. Census Bureau ACS)</x:v>
      </x:c>
      <x:c r="H105" s="21" t="str">
        <x:v>Constructed from U.S. Census Bureau ACS</x:v>
      </x:c>
      <x:c r="I105" s="33" t="str">
        <x:v>No</x:v>
      </x:c>
      <x:c r="J105" s="21" t="str">
        <x:v>None for this variable in the latest document. This variable/source use is not assigned in the latest Additional Variables document; it is retained from an earlier tracker/method or the repository's existing contract.</x:v>
      </x:c>
      <x:c r="K105" s="21" t="str">
        <x:v>Used for the existing earlier-scope repository variable 'ACS ZCTA annual price-to-income ratio': Matched-vintage ACS B25077 median home value divided by ACS B19013 median household income for the same Census ZCTA.. It is retained for prior requirements and is not evidence of latest-document source compliance.</x:v>
      </x:c>
      <x:c r="L105" s="21"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5" s="21" t="str">
        <x:v>Frequency / geography methodology decision: Decide whether the annual ratio remains an annual control or enters a separately labeled mixed-frequency model.</x:v>
      </x:c>
      <x:c r="N105" s="21" t="str">
        <x:v>Outside the seven source-scoped groups in Sections 3-9.</x:v>
      </x:c>
    </x:row>
    <x:row r="106" ht="82" customHeight="1">
      <x:c r="A106" s="20" t="n">
        <x:v>102</x:v>
      </x:c>
      <x:c r="B106" s="20" t="str">
        <x:v>General</x:v>
      </x:c>
      <x:c r="C106" s="20" t="str">
        <x:v>zcta_renter_occupied_units_vintage_change_annual</x:v>
      </x:c>
      <x:c r="D106" s="20" t="str">
        <x:v>ACS ZCTA renter-occupied units vintage-to-vintage change</x:v>
      </x:c>
      <x:c r="E106" s="29" t="str">
        <x:v>Have</x:v>
      </x:c>
      <x:c r="F106" s="25" t="str">
        <x:v>Partial</x:v>
      </x:c>
      <x:c r="G106" s="20" t="str">
        <x:v>census_acs_5year_b25003 (Constructed from U.S. Census Bureau ACS)</x:v>
      </x:c>
      <x:c r="H106" s="20" t="str">
        <x:v>Constructed from U.S. Census Bureau ACS</x:v>
      </x:c>
      <x:c r="I106" s="33" t="str">
        <x:v>No</x:v>
      </x:c>
      <x:c r="J106" s="20" t="str">
        <x:v>None for this variable in the latest document. This variable/source use is not assigned in the latest Additional Variables document; it is retained from an earlier tracker/method or the repository's existing contract.</x:v>
      </x:c>
      <x:c r="K106" s="20" t="str">
        <x:v>Used for the existing earlier-scope repository variable 'ACS ZCTA renter-occupied units vintage-to-vintage change': Difference between consecutive annual ACS B25003 five-year estimates of renter-occupied units within the same Census ZCTA.. It is retained for prior requirements and is not evidence of latest-document source compliance.</x:v>
      </x:c>
      <x:c r="L106" s="20"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06" s="20" t="str">
        <x:v>Frequency / geography methodology decision: Approve an explicit quarterly timing treatment only if the research design requires one; retain both completed annual controls at native ACS-vintage frequency.</x:v>
      </x:c>
      <x:c r="N106" s="20" t="str">
        <x:v>Outside the seven source-scoped groups in Sections 3-9.</x:v>
      </x:c>
    </x:row>
    <x:row r="107" ht="82" customHeight="1">
      <x:c r="A107" s="21" t="n">
        <x:v>103</x:v>
      </x:c>
      <x:c r="B107" s="21" t="str">
        <x:v>General</x:v>
      </x:c>
      <x:c r="C107" s="21" t="str">
        <x:v>acs_owner_occupied_home_value_proxy</x:v>
      </x:c>
      <x:c r="D107" s="21" t="str">
        <x:v>ACS owner-occupied housing value proxy</x:v>
      </x:c>
      <x:c r="E107" s="29" t="str">
        <x:v>Have</x:v>
      </x:c>
      <x:c r="F107" s="29" t="str">
        <x:v>Have</x:v>
      </x:c>
      <x:c r="G107" s="21" t="str">
        <x:v>census_acs_5year_b25003 | census_acs_5year_b25077 | census_acs_5year_b25081 | census_acs_5year_b25106 | freddie_mac_pmms (Constructed)</x:v>
      </x:c>
      <x:c r="H107" s="21" t="str">
        <x:v>Constructed</x:v>
      </x:c>
      <x:c r="I107" s="33" t="str">
        <x:v>No</x:v>
      </x:c>
      <x:c r="J107" s="21" t="str">
        <x:v>None for this variable in the latest document. This variable/source use is not assigned in the latest Additional Variables document; it is retained from an earlier tracker/method or the repository's existing contract.</x:v>
      </x:c>
      <x:c r="K107" s="21" t="str">
        <x:v>Used for the existing earlier-scope repository variable 'ACS owner-occupied housing value proxy': ACS owner-occupied housing units multiplied by ACS median home value; partial input for the aggregate home-equity workaround, not net equity.. It is retained for prior requirements and is not evidence of latest-document source compliance.</x:v>
      </x:c>
      <x:c r="L107" s="21" t="str">
        <x:v>Current repository output has at least one non-null value. Coverage follows the upstream source/output table; missing-value rule: preserve null when inputs missing.</x:v>
      </x:c>
      <x:c r="M107" s="21" t="str">
        <x:v>None beyond source-specific refresh and QA.</x:v>
      </x:c>
      <x:c r="N107" s="21" t="str">
        <x:v>Outside the seven source-scoped groups in Sections 3-9.</x:v>
      </x:c>
    </x:row>
    <x:row r="108" ht="82" customHeight="1">
      <x:c r="A108" s="20" t="n">
        <x:v>104</x:v>
      </x:c>
      <x:c r="B108" s="20" t="str">
        <x:v>General</x:v>
      </x:c>
      <x:c r="C108" s="20" t="str">
        <x:v>acs_b25106_owner_less_20k_cost_lt20pct</x:v>
      </x:c>
      <x:c r="D108" s="20" t="str">
        <x:v>ACS B25106 owner units, income under $20k, housing costs under 20%</x:v>
      </x:c>
      <x:c r="E108" s="29" t="str">
        <x:v>Have</x:v>
      </x:c>
      <x:c r="F108" s="29" t="str">
        <x:v>Have</x:v>
      </x:c>
      <x:c r="G108" s="20" t="str">
        <x:v>census_acs_5year_b25106 (U.S. Census Bureau)</x:v>
      </x:c>
      <x:c r="H108" s="20" t="str">
        <x:v>U.S. Census Bureau</x:v>
      </x:c>
      <x:c r="I108" s="33" t="str">
        <x:v>No</x:v>
      </x:c>
      <x:c r="J108" s="20" t="str">
        <x:v>None for this variable in the latest document. This variable/source use is not assigned in the latest Additional Variables document; it is retained from an earlier tracker/method or the repository's existing contract.</x:v>
      </x:c>
      <x:c r="K108" s="20" t="str">
        <x:v>Used for the existing earlier-scope repository variable 'ACS B25106 owner units, income under $20k, housing costs under 20%': Owner-occupied housing units in ACS B25106 income and housing-cost-burden bin.. It is retained for prior requirements and is not evidence of latest-document source compliance.</x:v>
      </x:c>
      <x:c r="L108" s="20" t="str">
        <x:v>county 2010-12-31 to 2024-12-31: 15/15 non-null across 1 geographies | zcta 2011-12-31 to 2024-12-31: 3836/3836 non-null across 274 geographies</x:v>
      </x:c>
      <x:c r="M108" s="20" t="str">
        <x:v>None beyond source-specific refresh and QA.</x:v>
      </x:c>
      <x:c r="N108" s="20" t="str">
        <x:v>Outside the seven source-scoped groups in Sections 3-9.</x:v>
      </x:c>
    </x:row>
    <x:row r="109" ht="82" customHeight="1">
      <x:c r="A109" s="21" t="n">
        <x:v>105</x:v>
      </x:c>
      <x:c r="B109" s="21" t="str">
        <x:v>General</x:v>
      </x:c>
      <x:c r="C109" s="21" t="str">
        <x:v>acs_b25106_owner_less_20k_cost_20_29pct</x:v>
      </x:c>
      <x:c r="D109" s="21" t="str">
        <x:v>ACS B25106 owner units, income under $20k, housing costs 20-29%</x:v>
      </x:c>
      <x:c r="E109" s="29" t="str">
        <x:v>Have</x:v>
      </x:c>
      <x:c r="F109" s="29" t="str">
        <x:v>Have</x:v>
      </x:c>
      <x:c r="G109" s="21" t="str">
        <x:v>census_acs_5year_b25106 (U.S. Census Bureau)</x:v>
      </x:c>
      <x:c r="H109" s="21" t="str">
        <x:v>U.S. Census Bureau</x:v>
      </x:c>
      <x:c r="I109" s="33" t="str">
        <x:v>No</x:v>
      </x:c>
      <x:c r="J109" s="21" t="str">
        <x:v>None for this variable in the latest document. This variable/source use is not assigned in the latest Additional Variables document; it is retained from an earlier tracker/method or the repository's existing contract.</x:v>
      </x:c>
      <x:c r="K109" s="21" t="str">
        <x:v>Used for the existing earlier-scope repository variable 'ACS B25106 owner units, income under $20k, housing costs 20-29%': Owner-occupied housing units in ACS B25106 income and housing-cost-burden bin.. It is retained for prior requirements and is not evidence of latest-document source compliance.</x:v>
      </x:c>
      <x:c r="L109" s="21" t="str">
        <x:v>county 2010-12-31 to 2024-12-31: 15/15 non-null across 1 geographies | zcta 2011-12-31 to 2024-12-31: 3836/3836 non-null across 274 geographies</x:v>
      </x:c>
      <x:c r="M109" s="21" t="str">
        <x:v>None beyond source-specific refresh and QA.</x:v>
      </x:c>
      <x:c r="N109" s="21" t="str">
        <x:v>Outside the seven source-scoped groups in Sections 3-9.</x:v>
      </x:c>
    </x:row>
    <x:row r="110" ht="82" customHeight="1">
      <x:c r="A110" s="20" t="n">
        <x:v>106</x:v>
      </x:c>
      <x:c r="B110" s="20" t="str">
        <x:v>General</x:v>
      </x:c>
      <x:c r="C110" s="20" t="str">
        <x:v>acs_b25106_owner_less_20k_cost_30pluspct</x:v>
      </x:c>
      <x:c r="D110" s="20" t="str">
        <x:v>ACS B25106 owner units, income under $20k, housing costs 30%+</x:v>
      </x:c>
      <x:c r="E110" s="29" t="str">
        <x:v>Have</x:v>
      </x:c>
      <x:c r="F110" s="29" t="str">
        <x:v>Have</x:v>
      </x:c>
      <x:c r="G110" s="20" t="str">
        <x:v>census_acs_5year_b25106 (U.S. Census Bureau)</x:v>
      </x:c>
      <x:c r="H110" s="20" t="str">
        <x:v>U.S. Census Bureau</x:v>
      </x:c>
      <x:c r="I110" s="33" t="str">
        <x:v>No</x:v>
      </x:c>
      <x:c r="J110" s="20" t="str">
        <x:v>None for this variable in the latest document. This variable/source use is not assigned in the latest Additional Variables document; it is retained from an earlier tracker/method or the repository's existing contract.</x:v>
      </x:c>
      <x:c r="K110" s="20" t="str">
        <x:v>Used for the existing earlier-scope repository variable 'ACS B25106 owner units, income under $20k, housing costs 30%+': Owner-occupied housing units in ACS B25106 income and housing-cost-burden bin.. It is retained for prior requirements and is not evidence of latest-document source compliance.</x:v>
      </x:c>
      <x:c r="L110" s="20" t="str">
        <x:v>county 2010-12-31 to 2024-12-31: 15/15 non-null across 1 geographies | zcta 2011-12-31 to 2024-12-31: 3836/3836 non-null across 274 geographies</x:v>
      </x:c>
      <x:c r="M110" s="20" t="str">
        <x:v>None beyond source-specific refresh and QA.</x:v>
      </x:c>
      <x:c r="N110" s="20" t="str">
        <x:v>Outside the seven source-scoped groups in Sections 3-9.</x:v>
      </x:c>
    </x:row>
    <x:row r="111" ht="82" customHeight="1">
      <x:c r="A111" s="21" t="n">
        <x:v>107</x:v>
      </x:c>
      <x:c r="B111" s="21" t="str">
        <x:v>General</x:v>
      </x:c>
      <x:c r="C111" s="21" t="str">
        <x:v>acs_b25106_owner_20k_34999_cost_lt20pct</x:v>
      </x:c>
      <x:c r="D111" s="21" t="str">
        <x:v>ACS B25106 owner units, income $20k-$34,999, housing costs under 20%</x:v>
      </x:c>
      <x:c r="E111" s="29" t="str">
        <x:v>Have</x:v>
      </x:c>
      <x:c r="F111" s="29" t="str">
        <x:v>Have</x:v>
      </x:c>
      <x:c r="G111" s="21" t="str">
        <x:v>census_acs_5year_b25106 (U.S. Census Bureau)</x:v>
      </x:c>
      <x:c r="H111" s="21" t="str">
        <x:v>U.S. Census Bureau</x:v>
      </x:c>
      <x:c r="I111" s="33" t="str">
        <x:v>No</x:v>
      </x:c>
      <x:c r="J111" s="21" t="str">
        <x:v>None for this variable in the latest document. This variable/source use is not assigned in the latest Additional Variables document; it is retained from an earlier tracker/method or the repository's existing contract.</x:v>
      </x:c>
      <x:c r="K111" s="21" t="str">
        <x:v>Used for the existing earlier-scope repository variable 'ACS B25106 owner units, income $20k-$34,999, housing costs under 20%': Owner-occupied housing units in ACS B25106 income and housing-cost-burden bin.. It is retained for prior requirements and is not evidence of latest-document source compliance.</x:v>
      </x:c>
      <x:c r="L111" s="21" t="str">
        <x:v>county 2010-12-31 to 2024-12-31: 15/15 non-null across 1 geographies | zcta 2011-12-31 to 2024-12-31: 3836/3836 non-null across 274 geographies</x:v>
      </x:c>
      <x:c r="M111" s="21" t="str">
        <x:v>None beyond source-specific refresh and QA.</x:v>
      </x:c>
      <x:c r="N111" s="21" t="str">
        <x:v>Outside the seven source-scoped groups in Sections 3-9.</x:v>
      </x:c>
    </x:row>
    <x:row r="112" ht="82" customHeight="1">
      <x:c r="A112" s="20" t="n">
        <x:v>108</x:v>
      </x:c>
      <x:c r="B112" s="20" t="str">
        <x:v>General</x:v>
      </x:c>
      <x:c r="C112" s="20" t="str">
        <x:v>acs_b25106_owner_20k_34999_cost_20_29pct</x:v>
      </x:c>
      <x:c r="D112" s="20" t="str">
        <x:v>ACS B25106 owner units, income $20k-$34,999, housing costs 20-29%</x:v>
      </x:c>
      <x:c r="E112" s="29" t="str">
        <x:v>Have</x:v>
      </x:c>
      <x:c r="F112" s="29" t="str">
        <x:v>Have</x:v>
      </x:c>
      <x:c r="G112" s="20" t="str">
        <x:v>census_acs_5year_b25106 (U.S. Census Bureau)</x:v>
      </x:c>
      <x:c r="H112" s="20" t="str">
        <x:v>U.S. Census Bureau</x:v>
      </x:c>
      <x:c r="I112" s="33" t="str">
        <x:v>No</x:v>
      </x:c>
      <x:c r="J112" s="20" t="str">
        <x:v>None for this variable in the latest document. This variable/source use is not assigned in the latest Additional Variables document; it is retained from an earlier tracker/method or the repository's existing contract.</x:v>
      </x:c>
      <x:c r="K112" s="20" t="str">
        <x:v>Used for the existing earlier-scope repository variable 'ACS B25106 owner units, income $20k-$34,999, housing costs 20-29%': Owner-occupied housing units in ACS B25106 income and housing-cost-burden bin.. It is retained for prior requirements and is not evidence of latest-document source compliance.</x:v>
      </x:c>
      <x:c r="L112" s="20" t="str">
        <x:v>county 2010-12-31 to 2024-12-31: 15/15 non-null across 1 geographies | zcta 2011-12-31 to 2024-12-31: 3836/3836 non-null across 274 geographies</x:v>
      </x:c>
      <x:c r="M112" s="20" t="str">
        <x:v>None beyond source-specific refresh and QA.</x:v>
      </x:c>
      <x:c r="N112" s="20" t="str">
        <x:v>Outside the seven source-scoped groups in Sections 3-9.</x:v>
      </x:c>
    </x:row>
    <x:row r="113" ht="82" customHeight="1">
      <x:c r="A113" s="21" t="n">
        <x:v>109</x:v>
      </x:c>
      <x:c r="B113" s="21" t="str">
        <x:v>General</x:v>
      </x:c>
      <x:c r="C113" s="21" t="str">
        <x:v>acs_b25106_owner_20k_34999_cost_30pluspct</x:v>
      </x:c>
      <x:c r="D113" s="21" t="str">
        <x:v>ACS B25106 owner units, income $20k-$34,999, housing costs 30%+</x:v>
      </x:c>
      <x:c r="E113" s="29" t="str">
        <x:v>Have</x:v>
      </x:c>
      <x:c r="F113" s="29" t="str">
        <x:v>Have</x:v>
      </x:c>
      <x:c r="G113" s="21" t="str">
        <x:v>census_acs_5year_b25106 (U.S. Census Bureau)</x:v>
      </x:c>
      <x:c r="H113" s="21" t="str">
        <x:v>U.S. Census Bureau</x:v>
      </x:c>
      <x:c r="I113" s="33" t="str">
        <x:v>No</x:v>
      </x:c>
      <x:c r="J113" s="21" t="str">
        <x:v>None for this variable in the latest document. This variable/source use is not assigned in the latest Additional Variables document; it is retained from an earlier tracker/method or the repository's existing contract.</x:v>
      </x:c>
      <x:c r="K113" s="21" t="str">
        <x:v>Used for the existing earlier-scope repository variable 'ACS B25106 owner units, income $20k-$34,999, housing costs 30%+': Owner-occupied housing units in ACS B25106 income and housing-cost-burden bin.. It is retained for prior requirements and is not evidence of latest-document source compliance.</x:v>
      </x:c>
      <x:c r="L113" s="21" t="str">
        <x:v>county 2010-12-31 to 2024-12-31: 15/15 non-null across 1 geographies | zcta 2011-12-31 to 2024-12-31: 3836/3836 non-null across 274 geographies</x:v>
      </x:c>
      <x:c r="M113" s="21" t="str">
        <x:v>None beyond source-specific refresh and QA.</x:v>
      </x:c>
      <x:c r="N113" s="21" t="str">
        <x:v>Outside the seven source-scoped groups in Sections 3-9.</x:v>
      </x:c>
    </x:row>
    <x:row r="114" ht="82" customHeight="1">
      <x:c r="A114" s="20" t="n">
        <x:v>110</x:v>
      </x:c>
      <x:c r="B114" s="20" t="str">
        <x:v>General</x:v>
      </x:c>
      <x:c r="C114" s="20" t="str">
        <x:v>acs_b25106_owner_35k_49999_cost_lt20pct</x:v>
      </x:c>
      <x:c r="D114" s="20" t="str">
        <x:v>ACS B25106 owner units, income $35k-$49,999, housing costs under 20%</x:v>
      </x:c>
      <x:c r="E114" s="29" t="str">
        <x:v>Have</x:v>
      </x:c>
      <x:c r="F114" s="29" t="str">
        <x:v>Have</x:v>
      </x:c>
      <x:c r="G114" s="20" t="str">
        <x:v>census_acs_5year_b25106 (U.S. Census Bureau)</x:v>
      </x:c>
      <x:c r="H114" s="20" t="str">
        <x:v>U.S. Census Bureau</x:v>
      </x:c>
      <x:c r="I114" s="33" t="str">
        <x:v>No</x:v>
      </x:c>
      <x:c r="J114" s="20" t="str">
        <x:v>None for this variable in the latest document. This variable/source use is not assigned in the latest Additional Variables document; it is retained from an earlier tracker/method or the repository's existing contract.</x:v>
      </x:c>
      <x:c r="K114" s="20" t="str">
        <x:v>Used for the existing earlier-scope repository variable 'ACS B25106 owner units, income $35k-$49,999, housing costs under 20%': Owner-occupied housing units in ACS B25106 income and housing-cost-burden bin.. It is retained for prior requirements and is not evidence of latest-document source compliance.</x:v>
      </x:c>
      <x:c r="L114" s="20" t="str">
        <x:v>county 2010-12-31 to 2024-12-31: 15/15 non-null across 1 geographies | zcta 2011-12-31 to 2024-12-31: 3836/3836 non-null across 274 geographies</x:v>
      </x:c>
      <x:c r="M114" s="20" t="str">
        <x:v>None beyond source-specific refresh and QA.</x:v>
      </x:c>
      <x:c r="N114" s="20" t="str">
        <x:v>Outside the seven source-scoped groups in Sections 3-9.</x:v>
      </x:c>
    </x:row>
    <x:row r="115" ht="82" customHeight="1">
      <x:c r="A115" s="21" t="n">
        <x:v>111</x:v>
      </x:c>
      <x:c r="B115" s="21" t="str">
        <x:v>General</x:v>
      </x:c>
      <x:c r="C115" s="21" t="str">
        <x:v>acs_b25106_owner_35k_49999_cost_20_29pct</x:v>
      </x:c>
      <x:c r="D115" s="21" t="str">
        <x:v>ACS B25106 owner units, income $35k-$49,999, housing costs 20-29%</x:v>
      </x:c>
      <x:c r="E115" s="29" t="str">
        <x:v>Have</x:v>
      </x:c>
      <x:c r="F115" s="29" t="str">
        <x:v>Have</x:v>
      </x:c>
      <x:c r="G115" s="21" t="str">
        <x:v>census_acs_5year_b25106 (U.S. Census Bureau)</x:v>
      </x:c>
      <x:c r="H115" s="21" t="str">
        <x:v>U.S. Census Bureau</x:v>
      </x:c>
      <x:c r="I115" s="33" t="str">
        <x:v>No</x:v>
      </x:c>
      <x:c r="J115" s="21" t="str">
        <x:v>None for this variable in the latest document. This variable/source use is not assigned in the latest Additional Variables document; it is retained from an earlier tracker/method or the repository's existing contract.</x:v>
      </x:c>
      <x:c r="K115" s="21" t="str">
        <x:v>Used for the existing earlier-scope repository variable 'ACS B25106 owner units, income $35k-$49,999, housing costs 20-29%': Owner-occupied housing units in ACS B25106 income and housing-cost-burden bin.. It is retained for prior requirements and is not evidence of latest-document source compliance.</x:v>
      </x:c>
      <x:c r="L115" s="21" t="str">
        <x:v>county 2010-12-31 to 2024-12-31: 15/15 non-null across 1 geographies | zcta 2011-12-31 to 2024-12-31: 3836/3836 non-null across 274 geographies</x:v>
      </x:c>
      <x:c r="M115" s="21" t="str">
        <x:v>None beyond source-specific refresh and QA.</x:v>
      </x:c>
      <x:c r="N115" s="21" t="str">
        <x:v>Outside the seven source-scoped groups in Sections 3-9.</x:v>
      </x:c>
    </x:row>
    <x:row r="116" ht="82" customHeight="1">
      <x:c r="A116" s="20" t="n">
        <x:v>112</x:v>
      </x:c>
      <x:c r="B116" s="20" t="str">
        <x:v>General</x:v>
      </x:c>
      <x:c r="C116" s="20" t="str">
        <x:v>acs_b25106_owner_35k_49999_cost_30pluspct</x:v>
      </x:c>
      <x:c r="D116" s="20" t="str">
        <x:v>ACS B25106 owner units, income $35k-$49,999, housing costs 30%+</x:v>
      </x:c>
      <x:c r="E116" s="29" t="str">
        <x:v>Have</x:v>
      </x:c>
      <x:c r="F116" s="29" t="str">
        <x:v>Have</x:v>
      </x:c>
      <x:c r="G116" s="20" t="str">
        <x:v>census_acs_5year_b25106 (U.S. Census Bureau)</x:v>
      </x:c>
      <x:c r="H116" s="20" t="str">
        <x:v>U.S. Census Bureau</x:v>
      </x:c>
      <x:c r="I116" s="33" t="str">
        <x:v>No</x:v>
      </x:c>
      <x:c r="J116" s="20" t="str">
        <x:v>None for this variable in the latest document. This variable/source use is not assigned in the latest Additional Variables document; it is retained from an earlier tracker/method or the repository's existing contract.</x:v>
      </x:c>
      <x:c r="K116" s="20" t="str">
        <x:v>Used for the existing earlier-scope repository variable 'ACS B25106 owner units, income $35k-$49,999, housing costs 30%+': Owner-occupied housing units in ACS B25106 income and housing-cost-burden bin.. It is retained for prior requirements and is not evidence of latest-document source compliance.</x:v>
      </x:c>
      <x:c r="L116" s="20" t="str">
        <x:v>county 2010-12-31 to 2024-12-31: 15/15 non-null across 1 geographies | zcta 2011-12-31 to 2024-12-31: 3836/3836 non-null across 274 geographies</x:v>
      </x:c>
      <x:c r="M116" s="20" t="str">
        <x:v>None beyond source-specific refresh and QA.</x:v>
      </x:c>
      <x:c r="N116" s="20" t="str">
        <x:v>Outside the seven source-scoped groups in Sections 3-9.</x:v>
      </x:c>
    </x:row>
    <x:row r="117" ht="82" customHeight="1">
      <x:c r="A117" s="21" t="n">
        <x:v>113</x:v>
      </x:c>
      <x:c r="B117" s="21" t="str">
        <x:v>General</x:v>
      </x:c>
      <x:c r="C117" s="21" t="str">
        <x:v>acs_b25106_owner_50k_74999_cost_lt20pct</x:v>
      </x:c>
      <x:c r="D117" s="21" t="str">
        <x:v>ACS B25106 owner units, income $50k-$74,999, housing costs under 20%</x:v>
      </x:c>
      <x:c r="E117" s="29" t="str">
        <x:v>Have</x:v>
      </x:c>
      <x:c r="F117" s="29" t="str">
        <x:v>Have</x:v>
      </x:c>
      <x:c r="G117" s="21" t="str">
        <x:v>census_acs_5year_b25106 (U.S. Census Bureau)</x:v>
      </x:c>
      <x:c r="H117" s="21" t="str">
        <x:v>U.S. Census Bureau</x:v>
      </x:c>
      <x:c r="I117" s="33" t="str">
        <x:v>No</x:v>
      </x:c>
      <x:c r="J117" s="21" t="str">
        <x:v>None for this variable in the latest document. This variable/source use is not assigned in the latest Additional Variables document; it is retained from an earlier tracker/method or the repository's existing contract.</x:v>
      </x:c>
      <x:c r="K117" s="21" t="str">
        <x:v>Used for the existing earlier-scope repository variable 'ACS B25106 owner units, income $50k-$74,999, housing costs under 20%': Owner-occupied housing units in ACS B25106 income and housing-cost-burden bin.. It is retained for prior requirements and is not evidence of latest-document source compliance.</x:v>
      </x:c>
      <x:c r="L117" s="21" t="str">
        <x:v>county 2010-12-31 to 2024-12-31: 15/15 non-null across 1 geographies | zcta 2011-12-31 to 2024-12-31: 3836/3836 non-null across 274 geographies</x:v>
      </x:c>
      <x:c r="M117" s="21" t="str">
        <x:v>None beyond source-specific refresh and QA.</x:v>
      </x:c>
      <x:c r="N117" s="21" t="str">
        <x:v>Outside the seven source-scoped groups in Sections 3-9.</x:v>
      </x:c>
    </x:row>
    <x:row r="118" ht="82" customHeight="1">
      <x:c r="A118" s="20" t="n">
        <x:v>114</x:v>
      </x:c>
      <x:c r="B118" s="20" t="str">
        <x:v>General</x:v>
      </x:c>
      <x:c r="C118" s="20" t="str">
        <x:v>acs_b25106_owner_50k_74999_cost_20_29pct</x:v>
      </x:c>
      <x:c r="D118" s="20" t="str">
        <x:v>ACS B25106 owner units, income $50k-$74,999, housing costs 20-29%</x:v>
      </x:c>
      <x:c r="E118" s="29" t="str">
        <x:v>Have</x:v>
      </x:c>
      <x:c r="F118" s="29" t="str">
        <x:v>Have</x:v>
      </x:c>
      <x:c r="G118" s="20" t="str">
        <x:v>census_acs_5year_b25106 (U.S. Census Bureau)</x:v>
      </x:c>
      <x:c r="H118" s="20" t="str">
        <x:v>U.S. Census Bureau</x:v>
      </x:c>
      <x:c r="I118" s="33" t="str">
        <x:v>No</x:v>
      </x:c>
      <x:c r="J118" s="20" t="str">
        <x:v>None for this variable in the latest document. This variable/source use is not assigned in the latest Additional Variables document; it is retained from an earlier tracker/method or the repository's existing contract.</x:v>
      </x:c>
      <x:c r="K118" s="20" t="str">
        <x:v>Used for the existing earlier-scope repository variable 'ACS B25106 owner units, income $50k-$74,999, housing costs 20-29%': Owner-occupied housing units in ACS B25106 income and housing-cost-burden bin.. It is retained for prior requirements and is not evidence of latest-document source compliance.</x:v>
      </x:c>
      <x:c r="L118" s="20" t="str">
        <x:v>county 2010-12-31 to 2024-12-31: 15/15 non-null across 1 geographies | zcta 2011-12-31 to 2024-12-31: 3836/3836 non-null across 274 geographies</x:v>
      </x:c>
      <x:c r="M118" s="20" t="str">
        <x:v>None beyond source-specific refresh and QA.</x:v>
      </x:c>
      <x:c r="N118" s="20" t="str">
        <x:v>Outside the seven source-scoped groups in Sections 3-9.</x:v>
      </x:c>
    </x:row>
    <x:row r="119" ht="82" customHeight="1">
      <x:c r="A119" s="21" t="n">
        <x:v>115</x:v>
      </x:c>
      <x:c r="B119" s="21" t="str">
        <x:v>General</x:v>
      </x:c>
      <x:c r="C119" s="21" t="str">
        <x:v>acs_b25106_owner_50k_74999_cost_30pluspct</x:v>
      </x:c>
      <x:c r="D119" s="21" t="str">
        <x:v>ACS B25106 owner units, income $50k-$74,999, housing costs 30%+</x:v>
      </x:c>
      <x:c r="E119" s="29" t="str">
        <x:v>Have</x:v>
      </x:c>
      <x:c r="F119" s="29" t="str">
        <x:v>Have</x:v>
      </x:c>
      <x:c r="G119" s="21" t="str">
        <x:v>census_acs_5year_b25106 (U.S. Census Bureau)</x:v>
      </x:c>
      <x:c r="H119" s="21" t="str">
        <x:v>U.S. Census Bureau</x:v>
      </x:c>
      <x:c r="I119" s="33" t="str">
        <x:v>No</x:v>
      </x:c>
      <x:c r="J119" s="21" t="str">
        <x:v>None for this variable in the latest document. This variable/source use is not assigned in the latest Additional Variables document; it is retained from an earlier tracker/method or the repository's existing contract.</x:v>
      </x:c>
      <x:c r="K119" s="21" t="str">
        <x:v>Used for the existing earlier-scope repository variable 'ACS B25106 owner units, income $50k-$74,999, housing costs 30%+': Owner-occupied housing units in ACS B25106 income and housing-cost-burden bin.. It is retained for prior requirements and is not evidence of latest-document source compliance.</x:v>
      </x:c>
      <x:c r="L119" s="21" t="str">
        <x:v>county 2010-12-31 to 2024-12-31: 15/15 non-null across 1 geographies | zcta 2011-12-31 to 2024-12-31: 3836/3836 non-null across 274 geographies</x:v>
      </x:c>
      <x:c r="M119" s="21" t="str">
        <x:v>None beyond source-specific refresh and QA.</x:v>
      </x:c>
      <x:c r="N119" s="21" t="str">
        <x:v>Outside the seven source-scoped groups in Sections 3-9.</x:v>
      </x:c>
    </x:row>
    <x:row r="120" ht="82" customHeight="1">
      <x:c r="A120" s="20" t="n">
        <x:v>116</x:v>
      </x:c>
      <x:c r="B120" s="20" t="str">
        <x:v>General</x:v>
      </x:c>
      <x:c r="C120" s="20" t="str">
        <x:v>acs_b25106_owner_75kplus_cost_lt20pct</x:v>
      </x:c>
      <x:c r="D120" s="20" t="str">
        <x:v>ACS B25106 owner units, income $75k+, housing costs under 20%</x:v>
      </x:c>
      <x:c r="E120" s="29" t="str">
        <x:v>Have</x:v>
      </x:c>
      <x:c r="F120" s="29" t="str">
        <x:v>Have</x:v>
      </x:c>
      <x:c r="G120" s="20" t="str">
        <x:v>census_acs_5year_b25106 (U.S. Census Bureau)</x:v>
      </x:c>
      <x:c r="H120" s="20" t="str">
        <x:v>U.S. Census Bureau</x:v>
      </x:c>
      <x:c r="I120" s="33" t="str">
        <x:v>No</x:v>
      </x:c>
      <x:c r="J120" s="20" t="str">
        <x:v>None for this variable in the latest document. This variable/source use is not assigned in the latest Additional Variables document; it is retained from an earlier tracker/method or the repository's existing contract.</x:v>
      </x:c>
      <x:c r="K120" s="20" t="str">
        <x:v>Used for the existing earlier-scope repository variable 'ACS B25106 owner units, income $75k+, housing costs under 20%': Owner-occupied housing units in ACS B25106 income and housing-cost-burden bin.. It is retained for prior requirements and is not evidence of latest-document source compliance.</x:v>
      </x:c>
      <x:c r="L120" s="20" t="str">
        <x:v>county 2010-12-31 to 2024-12-31: 15/15 non-null across 1 geographies | zcta 2011-12-31 to 2024-12-31: 3836/3836 non-null across 274 geographies</x:v>
      </x:c>
      <x:c r="M120" s="20" t="str">
        <x:v>None beyond source-specific refresh and QA.</x:v>
      </x:c>
      <x:c r="N120" s="20" t="str">
        <x:v>Outside the seven source-scoped groups in Sections 3-9.</x:v>
      </x:c>
    </x:row>
    <x:row r="121" ht="82" customHeight="1">
      <x:c r="A121" s="21" t="n">
        <x:v>117</x:v>
      </x:c>
      <x:c r="B121" s="21" t="str">
        <x:v>General</x:v>
      </x:c>
      <x:c r="C121" s="21" t="str">
        <x:v>acs_b25106_owner_75kplus_cost_20_29pct</x:v>
      </x:c>
      <x:c r="D121" s="21" t="str">
        <x:v>ACS B25106 owner units, income $75k+, housing costs 20-29%</x:v>
      </x:c>
      <x:c r="E121" s="29" t="str">
        <x:v>Have</x:v>
      </x:c>
      <x:c r="F121" s="29" t="str">
        <x:v>Have</x:v>
      </x:c>
      <x:c r="G121" s="21" t="str">
        <x:v>census_acs_5year_b25106 (U.S. Census Bureau)</x:v>
      </x:c>
      <x:c r="H121" s="21" t="str">
        <x:v>U.S. Census Bureau</x:v>
      </x:c>
      <x:c r="I121" s="33" t="str">
        <x:v>No</x:v>
      </x:c>
      <x:c r="J121" s="21" t="str">
        <x:v>None for this variable in the latest document. This variable/source use is not assigned in the latest Additional Variables document; it is retained from an earlier tracker/method or the repository's existing contract.</x:v>
      </x:c>
      <x:c r="K121" s="21" t="str">
        <x:v>Used for the existing earlier-scope repository variable 'ACS B25106 owner units, income $75k+, housing costs 20-29%': Owner-occupied housing units in ACS B25106 income and housing-cost-burden bin.. It is retained for prior requirements and is not evidence of latest-document source compliance.</x:v>
      </x:c>
      <x:c r="L121" s="21" t="str">
        <x:v>county 2010-12-31 to 2024-12-31: 15/15 non-null across 1 geographies | zcta 2011-12-31 to 2024-12-31: 3836/3836 non-null across 274 geographies</x:v>
      </x:c>
      <x:c r="M121" s="21" t="str">
        <x:v>None beyond source-specific refresh and QA.</x:v>
      </x:c>
      <x:c r="N121" s="21" t="str">
        <x:v>Outside the seven source-scoped groups in Sections 3-9.</x:v>
      </x:c>
    </x:row>
    <x:row r="122" ht="82" customHeight="1">
      <x:c r="A122" s="20" t="n">
        <x:v>118</x:v>
      </x:c>
      <x:c r="B122" s="20" t="str">
        <x:v>General</x:v>
      </x:c>
      <x:c r="C122" s="20" t="str">
        <x:v>acs_b25106_owner_75kplus_cost_30pluspct</x:v>
      </x:c>
      <x:c r="D122" s="20" t="str">
        <x:v>ACS B25106 owner units, income $75k+, housing costs 30%+</x:v>
      </x:c>
      <x:c r="E122" s="29" t="str">
        <x:v>Have</x:v>
      </x:c>
      <x:c r="F122" s="29" t="str">
        <x:v>Have</x:v>
      </x:c>
      <x:c r="G122" s="20" t="str">
        <x:v>census_acs_5year_b25106 (U.S. Census Bureau)</x:v>
      </x:c>
      <x:c r="H122" s="20" t="str">
        <x:v>U.S. Census Bureau</x:v>
      </x:c>
      <x:c r="I122" s="33" t="str">
        <x:v>No</x:v>
      </x:c>
      <x:c r="J122" s="20" t="str">
        <x:v>None for this variable in the latest document. This variable/source use is not assigned in the latest Additional Variables document; it is retained from an earlier tracker/method or the repository's existing contract.</x:v>
      </x:c>
      <x:c r="K122" s="20" t="str">
        <x:v>Used for the existing earlier-scope repository variable 'ACS B25106 owner units, income $75k+, housing costs 30%+': Owner-occupied housing units in ACS B25106 income and housing-cost-burden bin.. It is retained for prior requirements and is not evidence of latest-document source compliance.</x:v>
      </x:c>
      <x:c r="L122" s="20" t="str">
        <x:v>county 2010-12-31 to 2024-12-31: 15/15 non-null across 1 geographies | zcta 2011-12-31 to 2024-12-31: 3836/3836 non-null across 274 geographies</x:v>
      </x:c>
      <x:c r="M122" s="20" t="str">
        <x:v>None beyond source-specific refresh and QA.</x:v>
      </x:c>
      <x:c r="N122" s="20" t="str">
        <x:v>Outside the seven source-scoped groups in Sections 3-9.</x:v>
      </x:c>
    </x:row>
    <x:row r="123" ht="82" customHeight="1">
      <x:c r="A123" s="21" t="n">
        <x:v>119</x:v>
      </x:c>
      <x:c r="B123" s="21" t="str">
        <x:v>General</x:v>
      </x:c>
      <x:c r="C123" s="21" t="str">
        <x:v>acs_b25106_owner_zero_negative_income</x:v>
      </x:c>
      <x:c r="D123" s="21" t="str">
        <x:v>ACS B25106 owner units, zero or negative income</x:v>
      </x:c>
      <x:c r="E123" s="29" t="str">
        <x:v>Have</x:v>
      </x:c>
      <x:c r="F123" s="29" t="str">
        <x:v>Have</x:v>
      </x:c>
      <x:c r="G123" s="21" t="str">
        <x:v>census_acs_5year_b25106 (U.S. Census Bureau)</x:v>
      </x:c>
      <x:c r="H123" s="21" t="str">
        <x:v>U.S. Census Bureau</x:v>
      </x:c>
      <x:c r="I123" s="33" t="str">
        <x:v>No</x:v>
      </x:c>
      <x:c r="J123" s="21" t="str">
        <x:v>None for this variable in the latest document. This variable/source use is not assigned in the latest Additional Variables document; it is retained from an earlier tracker/method or the repository's existing contract.</x:v>
      </x:c>
      <x:c r="K123" s="21" t="str">
        <x:v>Used for the existing earlier-scope repository variable 'ACS B25106 owner units, zero or negative income': Owner-occupied housing units in ACS B25106 with zero or negative income.. It is retained for prior requirements and is not evidence of latest-document source compliance.</x:v>
      </x:c>
      <x:c r="L123" s="21" t="str">
        <x:v>county 2010-12-31 to 2024-12-31: 15/15 non-null across 1 geographies | zcta 2011-12-31 to 2024-12-31: 3836/3836 non-null across 274 geographies</x:v>
      </x:c>
      <x:c r="M123" s="21" t="str">
        <x:v>None beyond source-specific refresh and QA.</x:v>
      </x:c>
      <x:c r="N123" s="21" t="str">
        <x:v>Outside the seven source-scoped groups in Sections 3-9.</x:v>
      </x:c>
    </x:row>
    <x:row r="124" ht="82" customHeight="1">
      <x:c r="A124" s="20" t="n">
        <x:v>120</x:v>
      </x:c>
      <x:c r="B124" s="20" t="str">
        <x:v>General</x:v>
      </x:c>
      <x:c r="C124" s="20" t="str">
        <x:v>acs_implied_aggregate_mortgage_debt_proxy</x:v>
      </x:c>
      <x:c r="D124" s="20" t="str">
        <x:v>ACS implied aggregate mortgage debt proxy</x:v>
      </x:c>
      <x:c r="E124" s="29" t="str">
        <x:v>Have</x:v>
      </x:c>
      <x:c r="F124" s="29" t="str">
        <x:v>Have</x:v>
      </x:c>
      <x:c r="G124" s="20" t="str">
        <x:v>census_acs_5year_b25003 | census_acs_5year_b25077 | census_acs_5year_b25081 | census_acs_5year_b25106 | freddie_mac_pmms (Constructed)</x:v>
      </x:c>
      <x:c r="H124" s="20" t="str">
        <x:v>Constructed</x:v>
      </x:c>
      <x:c r="I124" s="33" t="str">
        <x:v>No</x:v>
      </x:c>
      <x:c r="J124" s="20" t="str">
        <x:v>None for this variable in the latest document. This variable/source use is not assigned in the latest Additional Variables document; it is retained from an earlier tracker/method or the repository's existing contract.</x:v>
      </x:c>
      <x:c r="K124" s="20" t="str">
        <x:v>Used for the existing earlier-scope repository variable 'ACS implied aggregate mortgage debt proxy': Constructed proxy for aggregate outstanding mortgage debt inferred from ACS B25106 owner income/cost-burden bins, ACS B25081 owner-with-mortgage counts, and Freddie Mac rate assumptions.. It is retained for prior requirements and is not evidence of latest-document source compliance.</x:v>
      </x:c>
      <x:c r="L124" s="20" t="str">
        <x:v>Current repository output has at least one non-null value. Coverage follows the upstream source/output table; missing-value rule: preserve null when inputs missing.</x:v>
      </x:c>
      <x:c r="M124" s="20" t="str">
        <x:v>None beyond source-specific refresh and QA.</x:v>
      </x:c>
      <x:c r="N124" s="20" t="str">
        <x:v>Outside the seven source-scoped groups in Sections 3-9.</x:v>
      </x:c>
    </x:row>
    <x:row r="125" ht="82" customHeight="1">
      <x:c r="A125" s="21" t="n">
        <x:v>121</x:v>
      </x:c>
      <x:c r="B125" s="21" t="str">
        <x:v>General</x:v>
      </x:c>
      <x:c r="C125" s="21" t="str">
        <x:v>acs_implied_average_mortgage_balance_proxy</x:v>
      </x:c>
      <x:c r="D125" s="21" t="str">
        <x:v>ACS implied average mortgage balance proxy</x:v>
      </x:c>
      <x:c r="E125" s="29" t="str">
        <x:v>Have</x:v>
      </x:c>
      <x:c r="F125" s="29" t="str">
        <x:v>Have</x:v>
      </x:c>
      <x:c r="G125" s="21" t="str">
        <x:v>census_acs_5year_b25003 | census_acs_5year_b25077 | census_acs_5year_b25081 | census_acs_5year_b25106 | freddie_mac_pmms (Constructed)</x:v>
      </x:c>
      <x:c r="H125" s="21" t="str">
        <x:v>Constructed</x:v>
      </x:c>
      <x:c r="I125" s="33" t="str">
        <x:v>No</x:v>
      </x:c>
      <x:c r="J125" s="21" t="str">
        <x:v>None for this variable in the latest document. This variable/source use is not assigned in the latest Additional Variables document; it is retained from an earlier tracker/method or the repository's existing contract.</x:v>
      </x:c>
      <x:c r="K125" s="21" t="str">
        <x:v>Used for the existing earlier-scope repository variable 'ACS implied average mortgage balance proxy': Aggregate implied mortgage debt proxy divided by ACS B25081 owner units with mortgage.. It is retained for prior requirements and is not evidence of latest-document source compliance.</x:v>
      </x:c>
      <x:c r="L125" s="21" t="str">
        <x:v>Current repository output has at least one non-null value. Coverage follows the upstream source/output table; missing-value rule: preserve null when inputs missing.</x:v>
      </x:c>
      <x:c r="M125" s="21" t="str">
        <x:v>None beyond source-specific refresh and QA.</x:v>
      </x:c>
      <x:c r="N125" s="21" t="str">
        <x:v>Outside the seven source-scoped groups in Sections 3-9.</x:v>
      </x:c>
    </x:row>
    <x:row r="126" ht="82" customHeight="1">
      <x:c r="A126" s="20" t="n">
        <x:v>122</x:v>
      </x:c>
      <x:c r="B126" s="20" t="str">
        <x:v>General</x:v>
      </x:c>
      <x:c r="C126" s="20" t="str">
        <x:v>acs_implied_annual_mortgage_debt_service_proxy</x:v>
      </x:c>
      <x:c r="D126" s="20" t="str">
        <x:v>ACS implied annual mortgage debt service proxy</x:v>
      </x:c>
      <x:c r="E126" s="29" t="str">
        <x:v>Have</x:v>
      </x:c>
      <x:c r="F126" s="29" t="str">
        <x:v>Have</x:v>
      </x:c>
      <x:c r="G126" s="20" t="str">
        <x:v>census_acs_5year_b25003 | census_acs_5year_b25077 | census_acs_5year_b25081 | census_acs_5year_b25106 | freddie_mac_pmms (Constructed)</x:v>
      </x:c>
      <x:c r="H126" s="20" t="str">
        <x:v>Constructed</x:v>
      </x:c>
      <x:c r="I126" s="33" t="str">
        <x:v>No</x:v>
      </x:c>
      <x:c r="J126" s="20" t="str">
        <x:v>None for this variable in the latest document. This variable/source use is not assigned in the latest Additional Variables document; it is retained from an earlier tracker/method or the repository's existing contract.</x:v>
      </x:c>
      <x:c r="K126" s="20" t="str">
        <x:v>Used for the existing earlier-scope repository variable 'ACS implied annual mortgage debt service proxy': Annualized mortgage debt-service proxy inferred from ACS B25106 owner cost-burden bins.. It is retained for prior requirements and is not evidence of latest-document source compliance.</x:v>
      </x:c>
      <x:c r="L126" s="20" t="str">
        <x:v>Current repository output has at least one non-null value. Coverage follows the upstream source/output table; missing-value rule: preserve null when inputs missing.</x:v>
      </x:c>
      <x:c r="M126" s="20" t="str">
        <x:v>None beyond source-specific refresh and QA.</x:v>
      </x:c>
      <x:c r="N126" s="20" t="str">
        <x:v>Outside the seven source-scoped groups in Sections 3-9.</x:v>
      </x:c>
    </x:row>
    <x:row r="127" ht="82" customHeight="1">
      <x:c r="A127" s="21" t="n">
        <x:v>123</x:v>
      </x:c>
      <x:c r="B127" s="21" t="str">
        <x:v>General</x:v>
      </x:c>
      <x:c r="C127" s="21" t="str">
        <x:v>acs_mortgage_debt_proxy_rate_assumption</x:v>
      </x:c>
      <x:c r="D127" s="21" t="str">
        <x:v>Mortgage debt proxy rate assumption</x:v>
      </x:c>
      <x:c r="E127" s="29" t="str">
        <x:v>Have</x:v>
      </x:c>
      <x:c r="F127" s="29" t="str">
        <x:v>Have</x:v>
      </x:c>
      <x:c r="G127" s="21" t="str">
        <x:v>census_acs_5year_b25003 | census_acs_5year_b25077 | census_acs_5year_b25081 | census_acs_5year_b25106 | freddie_mac_pmms (Constructed)</x:v>
      </x:c>
      <x:c r="H127" s="21" t="str">
        <x:v>Constructed</x:v>
      </x:c>
      <x:c r="I127" s="33" t="str">
        <x:v>No</x:v>
      </x:c>
      <x:c r="J127" s="21" t="str">
        <x:v>None for this variable in the latest document. This variable/source use is not assigned in the latest Additional Variables document; it is retained from an earlier tracker/method or the repository's existing contract.</x:v>
      </x:c>
      <x:c r="K127" s="21" t="str">
        <x:v>Used for the existing earlier-scope repository variable 'Mortgage debt proxy rate assumption': Freddie Mac PMMS annual average rate used in the ACS implied mortgage-debt proxy.. It is retained for prior requirements and is not evidence of latest-document source compliance.</x:v>
      </x:c>
      <x:c r="L127" s="21" t="str">
        <x:v>Current repository output has at least one non-null value. Coverage follows the upstream source/output table; missing-value rule: preserve null when inputs missing.</x:v>
      </x:c>
      <x:c r="M127" s="21" t="str">
        <x:v>None beyond source-specific refresh and QA.</x:v>
      </x:c>
      <x:c r="N127" s="21" t="str">
        <x:v>Outside the seven source-scoped groups in Sections 3-9.</x:v>
      </x:c>
    </x:row>
    <x:row r="128" ht="82" customHeight="1">
      <x:c r="A128" s="20" t="n">
        <x:v>124</x:v>
      </x:c>
      <x:c r="B128" s="20" t="str">
        <x:v>General</x:v>
      </x:c>
      <x:c r="C128" s="20" t="str">
        <x:v>acs_mortgage_debt_proxy_term_years_assumption</x:v>
      </x:c>
      <x:c r="D128" s="20" t="str">
        <x:v>Mortgage debt proxy remaining-term assumption</x:v>
      </x:c>
      <x:c r="E128" s="29" t="str">
        <x:v>Have</x:v>
      </x:c>
      <x:c r="F128" s="29" t="str">
        <x:v>Have</x:v>
      </x:c>
      <x:c r="G128" s="20" t="str">
        <x:v>census_acs_5year_b25003 | census_acs_5year_b25077 | census_acs_5year_b25081 | census_acs_5year_b25106 | freddie_mac_pmms (Constructed)</x:v>
      </x:c>
      <x:c r="H128" s="20" t="str">
        <x:v>Constructed</x:v>
      </x:c>
      <x:c r="I128" s="33" t="str">
        <x:v>No</x:v>
      </x:c>
      <x:c r="J128" s="20" t="str">
        <x:v>None for this variable in the latest document. This variable/source use is not assigned in the latest Additional Variables document; it is retained from an earlier tracker/method or the repository's existing contract.</x:v>
      </x:c>
      <x:c r="K128" s="20" t="str">
        <x:v>Used for the existing earlier-scope repository variable 'Mortgage debt proxy remaining-term assumption': Remaining amortization term assumption used in the ACS implied mortgage-debt proxy.. It is retained for prior requirements and is not evidence of latest-document source compliance.</x:v>
      </x:c>
      <x:c r="L128" s="20" t="str">
        <x:v>Current repository output has at least one non-null value. Coverage follows the upstream source/output table; missing-value rule: not applicable.</x:v>
      </x:c>
      <x:c r="M128" s="20" t="str">
        <x:v>None beyond source-specific refresh and QA.</x:v>
      </x:c>
      <x:c r="N128" s="20" t="str">
        <x:v>Outside the seven source-scoped groups in Sections 3-9.</x:v>
      </x:c>
    </x:row>
    <x:row r="129" ht="82" customHeight="1">
      <x:c r="A129" s="21" t="n">
        <x:v>125</x:v>
      </x:c>
      <x:c r="B129" s="21" t="str">
        <x:v>General</x:v>
      </x:c>
      <x:c r="C129" s="21" t="str">
        <x:v>acs_mortgage_debt_proxy_debt_service_share_assumption</x:v>
      </x:c>
      <x:c r="D129" s="21" t="str">
        <x:v>Mortgage debt proxy debt-service-share assumption</x:v>
      </x:c>
      <x:c r="E129" s="29" t="str">
        <x:v>Have</x:v>
      </x:c>
      <x:c r="F129" s="29" t="str">
        <x:v>Have</x:v>
      </x:c>
      <x:c r="G129" s="21" t="str">
        <x:v>census_acs_5year_b25003 | census_acs_5year_b25077 | census_acs_5year_b25081 | census_acs_5year_b25106 | freddie_mac_pmms (Constructed)</x:v>
      </x:c>
      <x:c r="H129" s="21" t="str">
        <x:v>Constructed</x:v>
      </x:c>
      <x:c r="I129" s="33" t="str">
        <x:v>No</x:v>
      </x:c>
      <x:c r="J129" s="21" t="str">
        <x:v>None for this variable in the latest document. This variable/source use is not assigned in the latest Additional Variables document; it is retained from an earlier tracker/method or the repository's existing contract.</x:v>
      </x:c>
      <x:c r="K129" s="21" t="str">
        <x:v>Used for the existing earlier-scope repository variable 'Mortgage debt proxy debt-service-share assumption': Share of ACS owner housing cost assigned to mortgage debt service in the implied mortgage-debt proxy.. It is retained for prior requirements and is not evidence of latest-document source compliance.</x:v>
      </x:c>
      <x:c r="L129" s="21" t="str">
        <x:v>Current repository output has at least one non-null value. Coverage follows the upstream source/output table; missing-value rule: not applicable.</x:v>
      </x:c>
      <x:c r="M129" s="21" t="str">
        <x:v>None beyond source-specific refresh and QA.</x:v>
      </x:c>
      <x:c r="N129" s="21" t="str">
        <x:v>Outside the seven source-scoped groups in Sections 3-9.</x:v>
      </x:c>
    </x:row>
    <x:row r="130" ht="82" customHeight="1">
      <x:c r="A130" s="20" t="n">
        <x:v>126</x:v>
      </x:c>
      <x:c r="B130" s="20" t="str">
        <x:v>General</x:v>
      </x:c>
      <x:c r="C130" s="20" t="str">
        <x:v>acs_implied_aggregate_home_equity_proxy</x:v>
      </x:c>
      <x:c r="D130" s="20" t="str">
        <x:v>ACS implied aggregate home equity proxy</x:v>
      </x:c>
      <x:c r="E130" s="29" t="str">
        <x:v>Have</x:v>
      </x:c>
      <x:c r="F130" s="29" t="str">
        <x:v>Have</x:v>
      </x:c>
      <x:c r="G130" s="20" t="str">
        <x:v>census_acs_5year_b25003 | census_acs_5year_b25077 | census_acs_5year_b25081 | census_acs_5year_b25106 | freddie_mac_pmms (Constructed)</x:v>
      </x:c>
      <x:c r="H130" s="20" t="str">
        <x:v>Constructed</x:v>
      </x:c>
      <x:c r="I130" s="33" t="str">
        <x:v>No</x:v>
      </x:c>
      <x:c r="J130" s="20" t="str">
        <x:v>None for this variable in the latest document. This variable/source use is not assigned in the latest Additional Variables document; it is retained from an earlier tracker/method or the repository's existing contract.</x:v>
      </x:c>
      <x:c r="K130" s="20" t="str">
        <x:v>Used for the existing earlier-scope repository variable 'ACS implied aggregate home equity proxy': ACS owner-occupied housing value proxy minus ACS implied aggregate mortgage debt proxy.. It is retained for prior requirements and is not evidence of latest-document source compliance.</x:v>
      </x:c>
      <x:c r="L130" s="20" t="str">
        <x:v>Current repository output has at least one non-null value. Coverage follows the upstream source/output table; missing-value rule: preserve null when inputs missing.</x:v>
      </x:c>
      <x:c r="M130" s="20" t="str">
        <x:v>None beyond source-specific refresh and QA.</x:v>
      </x:c>
      <x:c r="N130" s="20" t="str">
        <x:v>Outside the seven source-scoped groups in Sections 3-9.</x:v>
      </x:c>
    </x:row>
    <x:row r="131" ht="82" customHeight="1">
      <x:c r="A131" s="21" t="n">
        <x:v>127</x:v>
      </x:c>
      <x:c r="B131" s="21" t="str">
        <x:v>General</x:v>
      </x:c>
      <x:c r="C131" s="21" t="str">
        <x:v>cdc_wonder_live_births_annual</x:v>
      </x:c>
      <x:c r="D131" s="21" t="str">
        <x:v>CDC WONDER LA County annual live births</x:v>
      </x:c>
      <x:c r="E131" s="29" t="str">
        <x:v>Have</x:v>
      </x:c>
      <x:c r="F131" s="29" t="str">
        <x:v>Have</x:v>
      </x:c>
      <x:c r="G131" s="21" t="str">
        <x:v>cdc_wonder_natality_county (CDC WONDER / National Center for Health Statistics)</x:v>
      </x:c>
      <x:c r="H131" s="21" t="str">
        <x:v>CDC WONDER / National Center for Health Statistics</x:v>
      </x:c>
      <x:c r="I131" s="33" t="str">
        <x:v>No</x:v>
      </x:c>
      <x:c r="J131" s="21" t="str">
        <x:v>None for this variable in the latest document. This variable/source use is not assigned in the latest Additional Variables document; it is retained from an earlier tracker/method or the repository's existing contract.</x:v>
      </x:c>
      <x:c r="K131" s="21" t="str">
        <x:v>Used for the existing earlier-scope repository variable 'CDC WONDER LA County annual live births': Annual live births for Los Angeles County from CDC WONDER Natality.. It is retained for prior requirements and is not evidence of latest-document source compliance.</x:v>
      </x:c>
      <x:c r="L131" s="21" t="str">
        <x:v>county 2007-12-31 to 2024-12-31: 18/18 non-null across 1 geographies</x:v>
      </x:c>
      <x:c r="M131" s="21" t="str">
        <x:v>None beyond source-specific refresh and QA.</x:v>
      </x:c>
      <x:c r="N131" s="21" t="str">
        <x:v>Outside the seven source-scoped groups in Sections 3-9.</x:v>
      </x:c>
    </x:row>
    <x:row r="132" ht="82" customHeight="1">
      <x:c r="A132" s="20" t="n">
        <x:v>128</x:v>
      </x:c>
      <x:c r="B132" s="20" t="str">
        <x:v>General</x:v>
      </x:c>
      <x:c r="C132" s="20" t="str">
        <x:v>cdc_wonder_deaths_annual</x:v>
      </x:c>
      <x:c r="D132" s="20" t="str">
        <x:v>CDC WONDER LA County annual deaths</x:v>
      </x:c>
      <x:c r="E132" s="29" t="str">
        <x:v>Have</x:v>
      </x:c>
      <x:c r="F132" s="29" t="str">
        <x:v>Have</x:v>
      </x:c>
      <x:c r="G132" s="20" t="str">
        <x:v>cdc_wonder_ucd_1999_2020_la_county | cdc_wonder_ucd_2018_2024_county (CDC WONDER / National Center for Health Statistics)</x:v>
      </x:c>
      <x:c r="H132" s="20" t="str">
        <x:v>CDC WONDER / National Center for Health Statistics</x:v>
      </x:c>
      <x:c r="I132" s="33" t="str">
        <x:v>No</x:v>
      </x:c>
      <x:c r="J132" s="20" t="str">
        <x:v>None for this variable in the latest document. This variable/source use is not assigned in the latest Additional Variables document; it is retained from an earlier tracker/method or the repository's existing contract.</x:v>
      </x:c>
      <x:c r="K132" s="20" t="str">
        <x:v>Used for the existing earlier-scope repository variable 'CDC WONDER LA County annual deaths': Annual deaths for Los Angeles County from CDC WONDER Underlying Cause of Death.. It is retained for prior requirements and is not evidence of latest-document source compliance.</x:v>
      </x:c>
      <x:c r="L132" s="20" t="str">
        <x:v>county 2007-12-31 to 2024-12-31: 18/18 non-null across 1 geographies</x:v>
      </x:c>
      <x:c r="M132" s="20" t="str">
        <x:v>None beyond source-specific refresh and QA.</x:v>
      </x:c>
      <x:c r="N132" s="20" t="str">
        <x:v>Outside the seven source-scoped groups in Sections 3-9.</x:v>
      </x:c>
    </x:row>
    <x:row r="133" ht="82" customHeight="1">
      <x:c r="A133" s="21" t="n">
        <x:v>129</x:v>
      </x:c>
      <x:c r="B133" s="21" t="str">
        <x:v>General</x:v>
      </x:c>
      <x:c r="C133" s="21" t="str">
        <x:v>natural_population_change_annual</x:v>
      </x:c>
      <x:c r="D133" s="21" t="str">
        <x:v>Annual natural population change</x:v>
      </x:c>
      <x:c r="E133" s="29" t="str">
        <x:v>Have</x:v>
      </x:c>
      <x:c r="F133" s="29" t="str">
        <x:v>Have</x:v>
      </x:c>
      <x:c r="G133" s="21" t="str">
        <x:v>cdc_wonder_natality_county | cdc_wonder_ucd_1999_2020_la_county | cdc_wonder_ucd_2018_2024_county (Constructed from CDC WONDER)</x:v>
      </x:c>
      <x:c r="H133" s="21" t="str">
        <x:v>Constructed from CDC WONDER</x:v>
      </x:c>
      <x:c r="I133" s="33" t="str">
        <x:v>No</x:v>
      </x:c>
      <x:c r="J133" s="21" t="str">
        <x:v>None for this variable in the latest document. This variable/source use is not assigned in the latest Additional Variables document; it is retained from an earlier tracker/method or the repository's existing contract.</x:v>
      </x:c>
      <x:c r="K133" s="21" t="str">
        <x:v>Used for the existing earlier-scope repository variable 'Annual natural population change': Los Angeles County annual live births minus annual deaths.. It is retained for prior requirements and is not evidence of latest-document source compliance.</x:v>
      </x:c>
      <x:c r="L133" s="21" t="str">
        <x:v>18 annual observations, 2007-2024; 72 quarterly allocations Gap: Quarterly timing is imputed, not observed.</x:v>
      </x:c>
      <x:c r="M133" s="21" t="str">
        <x:v>None beyond source-specific refresh and QA.</x:v>
      </x:c>
      <x:c r="N133" s="21" t="str">
        <x:v>Outside the seven source-scoped groups in Sections 3-9.</x:v>
      </x:c>
    </x:row>
    <x:row r="134" ht="82" customHeight="1">
      <x:c r="A134" s="20" t="n">
        <x:v>130</x:v>
      </x:c>
      <x:c r="B134" s="20" t="str">
        <x:v>General</x:v>
      </x:c>
      <x:c r="C134" s="20" t="str">
        <x:v>natural_population_change_quarterly_allocated</x:v>
      </x:c>
      <x:c r="D134" s="20" t="str">
        <x:v>Quarterly allocated natural population change</x:v>
      </x:c>
      <x:c r="E134" s="29" t="str">
        <x:v>Have</x:v>
      </x:c>
      <x:c r="F134" s="29" t="str">
        <x:v>Have</x:v>
      </x:c>
      <x:c r="G134" s="20" t="str">
        <x:v>cdc_wonder_natality_county | cdc_wonder_ucd_1999_2020_la_county | cdc_wonder_ucd_2018_2024_county (Constructed from CDC WONDER)</x:v>
      </x:c>
      <x:c r="H134" s="20" t="str">
        <x:v>Constructed from CDC WONDER</x:v>
      </x:c>
      <x:c r="I134" s="33" t="str">
        <x:v>No</x:v>
      </x:c>
      <x:c r="J134" s="20" t="str">
        <x:v>None for this variable in the latest document. This variable/source use is not assigned in the latest Additional Variables document; it is retained from an earlier tracker/method or the repository's existing contract.</x:v>
      </x:c>
      <x:c r="K134" s="20" t="str">
        <x:v>Used for the existing earlier-scope repository variable 'Quarterly allocated natural population change': Annual natural population change evenly allocated to four quarters for quarterly modeling.. It is retained for prior requirements and is not evidence of latest-document source compliance.</x:v>
      </x:c>
      <x:c r="L134" s="20" t="str">
        <x:v>18 annual observations, 2007-2024; 72 quarterly allocations Gap: Quarterly timing is imputed, not observed.</x:v>
      </x:c>
      <x:c r="M134" s="20" t="str">
        <x:v>None beyond source-specific refresh and QA.</x:v>
      </x:c>
      <x:c r="N134" s="20" t="str">
        <x:v>Outside the seven source-scoped groups in Sections 3-9.</x:v>
      </x:c>
    </x:row>
    <x:row r="135" ht="82" customHeight="1">
      <x:c r="A135" s="21" t="n">
        <x:v>131</x:v>
      </x:c>
      <x:c r="B135" s="21" t="str">
        <x:v>General</x:v>
      </x:c>
      <x:c r="C135" s="21" t="str">
        <x:v>eviction_lab_renting_households_annual</x:v>
      </x:c>
      <x:c r="D135" s="21" t="str">
        <x:v>Eviction Lab renter households</x:v>
      </x:c>
      <x:c r="E135" s="29" t="str">
        <x:v>Have</x:v>
      </x:c>
      <x:c r="F135" s="25" t="str">
        <x:v>Partial</x:v>
      </x:c>
      <x:c r="G135" s="21" t="str">
        <x:v>Eviction Lab</x:v>
      </x:c>
      <x:c r="H135" s="21" t="str">
        <x:v>Eviction Lab</x:v>
      </x:c>
      <x:c r="I135" s="33" t="str">
        <x:v>No</x:v>
      </x:c>
      <x:c r="J135" s="21" t="str">
        <x:v>None for this variable in the latest document. This variable/source use is not assigned in the latest Additional Variables document; it is retained from an earlier tracker/method or the repository's existing contract.</x:v>
      </x:c>
      <x:c r="K135" s="21" t="str">
        <x:v>Used for the existing earlier-scope repository variable 'Eviction Lab renter households': Number of renting households in Los Angeles County used as the denominator in Eviction Lab annual county eviction estimates.. It is retained for prior requirements and is not evidence of latest-document source compliance.</x:v>
      </x:c>
      <x:c r="L135" s="21" t="str">
        <x:v>county 2000-12-31 to 2018-12-31: 19/19 non-null across 1 geographies</x:v>
      </x:c>
      <x:c r="M135" s="21" t="str">
        <x:v>Source identification (listed sources only): Within the already-listed Eviction Lab source, verify whether a later LA high-frequency product becomes available; otherwise preserve the annual modeled label and leave high frequency unsatisfied.</x:v>
      </x:c>
      <x:c r="N135" s="21" t="str">
        <x:v>Outside the seven source-scoped groups in Sections 3-9.</x:v>
      </x:c>
    </x:row>
    <x:row r="136" ht="82" customHeight="1">
      <x:c r="A136" s="20" t="n">
        <x:v>132</x:v>
      </x:c>
      <x:c r="B136" s="20" t="str">
        <x:v>General</x:v>
      </x:c>
      <x:c r="C136" s="20" t="str">
        <x:v>eviction_lab_filings_estimate_annual</x:v>
      </x:c>
      <x:c r="D136" s="20" t="str">
        <x:v>Eviction Lab annual eviction filings estimate</x:v>
      </x:c>
      <x:c r="E136" s="29" t="str">
        <x:v>Have</x:v>
      </x:c>
      <x:c r="F136" s="25" t="str">
        <x:v>Partial</x:v>
      </x:c>
      <x:c r="G136" s="20" t="str">
        <x:v>eviction_lab_county_estimates (Eviction Lab)</x:v>
      </x:c>
      <x:c r="H136" s="20" t="str">
        <x:v>Eviction Lab</x:v>
      </x:c>
      <x:c r="I136" s="33" t="str">
        <x:v>No</x:v>
      </x:c>
      <x:c r="J136" s="20" t="str">
        <x:v>None for this variable in the latest document. This variable/source use is not assigned in the latest Additional Variables document; it is retained from an earlier tracker/method or the repository's existing contract.</x:v>
      </x:c>
      <x:c r="K136" s="20" t="str">
        <x:v>Used for the existing earlier-scope repository variable 'Eviction Lab annual eviction filings estimate': Estimated annual number of eviction filings for Los Angeles County.. It is retained for prior requirements and is not evidence of latest-document source compliance.</x:v>
      </x:c>
      <x:c r="L136" s="20" t="str">
        <x:v>county 2000-12-31 to 2018-12-31: 19/19 non-null across 1 geographies</x:v>
      </x:c>
      <x:c r="M136" s="20" t="str">
        <x:v>Source identification (listed sources only): Within the already-listed Eviction Lab source, verify whether a later LA high-frequency product becomes available; otherwise preserve the annual modeled label and leave high frequency unsatisfied.</x:v>
      </x:c>
      <x:c r="N136" s="20" t="str">
        <x:v>Outside the seven source-scoped groups in Sections 3-9.</x:v>
      </x:c>
    </x:row>
    <x:row r="137" ht="82" customHeight="1">
      <x:c r="A137" s="21" t="n">
        <x:v>133</x:v>
      </x:c>
      <x:c r="B137" s="21" t="str">
        <x:v>General</x:v>
      </x:c>
      <x:c r="C137" s="21" t="str">
        <x:v>eviction_lab_filings_ci_95_lower_annual</x:v>
      </x:c>
      <x:c r="D137" s="21" t="str">
        <x:v>Eviction Lab eviction filings lower 95% credible interval</x:v>
      </x:c>
      <x:c r="E137" s="29" t="str">
        <x:v>Have</x:v>
      </x:c>
      <x:c r="F137" s="25" t="str">
        <x:v>Partial</x:v>
      </x:c>
      <x:c r="G137" s="21" t="str">
        <x:v>Eviction Lab</x:v>
      </x:c>
      <x:c r="H137" s="21" t="str">
        <x:v>Eviction Lab</x:v>
      </x:c>
      <x:c r="I137" s="33" t="str">
        <x:v>No</x:v>
      </x:c>
      <x:c r="J137" s="21" t="str">
        <x:v>None for this variable in the latest document. This variable/source use is not assigned in the latest Additional Variables document; it is retained from an earlier tracker/method or the repository's existing contract.</x:v>
      </x:c>
      <x:c r="K137" s="21" t="str">
        <x:v>Used for the existing earlier-scope repository variable 'Eviction Lab eviction filings lower 95% credible interval': Lower bound of the 95% credible interval for annual eviction filings in Los Angeles County.. It is retained for prior requirements and is not evidence of latest-document source compliance.</x:v>
      </x:c>
      <x:c r="L137" s="21" t="str">
        <x:v>county 2000-12-31 to 2018-12-31: 19/19 non-null across 1 geographies</x:v>
      </x:c>
      <x:c r="M137" s="21" t="str">
        <x:v>Source identification (listed sources only): Within the already-listed Eviction Lab source, verify whether a later LA high-frequency product becomes available; otherwise preserve the annual modeled label and leave high frequency unsatisfied.</x:v>
      </x:c>
      <x:c r="N137" s="21" t="str">
        <x:v>Outside the seven source-scoped groups in Sections 3-9.</x:v>
      </x:c>
    </x:row>
    <x:row r="138" ht="82" customHeight="1">
      <x:c r="A138" s="20" t="n">
        <x:v>134</x:v>
      </x:c>
      <x:c r="B138" s="20" t="str">
        <x:v>General</x:v>
      </x:c>
      <x:c r="C138" s="20" t="str">
        <x:v>eviction_lab_filings_ci_95_upper_annual</x:v>
      </x:c>
      <x:c r="D138" s="20" t="str">
        <x:v>Eviction Lab eviction filings upper 95% credible interval</x:v>
      </x:c>
      <x:c r="E138" s="29" t="str">
        <x:v>Have</x:v>
      </x:c>
      <x:c r="F138" s="25" t="str">
        <x:v>Partial</x:v>
      </x:c>
      <x:c r="G138" s="20" t="str">
        <x:v>Eviction Lab</x:v>
      </x:c>
      <x:c r="H138" s="20" t="str">
        <x:v>Eviction Lab</x:v>
      </x:c>
      <x:c r="I138" s="33" t="str">
        <x:v>No</x:v>
      </x:c>
      <x:c r="J138" s="20" t="str">
        <x:v>None for this variable in the latest document. This variable/source use is not assigned in the latest Additional Variables document; it is retained from an earlier tracker/method or the repository's existing contract.</x:v>
      </x:c>
      <x:c r="K138" s="20" t="str">
        <x:v>Used for the existing earlier-scope repository variable 'Eviction Lab eviction filings upper 95% credible interval': Upper bound of the 95% credible interval for annual eviction filings in Los Angeles County.. It is retained for prior requirements and is not evidence of latest-document source compliance.</x:v>
      </x:c>
      <x:c r="L138" s="20" t="str">
        <x:v>county 2000-12-31 to 2018-12-31: 19/19 non-null across 1 geographies</x:v>
      </x:c>
      <x:c r="M138" s="20" t="str">
        <x:v>Source identification (listed sources only): Within the already-listed Eviction Lab source, verify whether a later LA high-frequency product becomes available; otherwise preserve the annual modeled label and leave high frequency unsatisfied.</x:v>
      </x:c>
      <x:c r="N138" s="20" t="str">
        <x:v>Outside the seven source-scoped groups in Sections 3-9.</x:v>
      </x:c>
    </x:row>
    <x:row r="139" ht="82" customHeight="1">
      <x:c r="A139" s="21" t="n">
        <x:v>135</x:v>
      </x:c>
      <x:c r="B139" s="21" t="str">
        <x:v>General</x:v>
      </x:c>
      <x:c r="C139" s="21" t="str">
        <x:v>eviction_lab_filings_rate_estimate_annual</x:v>
      </x:c>
      <x:c r="D139" s="21" t="str">
        <x:v>Eviction Lab annual eviction filing rate estimate</x:v>
      </x:c>
      <x:c r="E139" s="29" t="str">
        <x:v>Have</x:v>
      </x:c>
      <x:c r="F139" s="25" t="str">
        <x:v>Partial</x:v>
      </x:c>
      <x:c r="G139" s="21" t="str">
        <x:v>eviction_lab_county_estimates (Constructed from Eviction Lab)</x:v>
      </x:c>
      <x:c r="H139" s="21" t="str">
        <x:v>Constructed from Eviction Lab</x:v>
      </x:c>
      <x:c r="I139" s="33" t="str">
        <x:v>No</x:v>
      </x:c>
      <x:c r="J139" s="21" t="str">
        <x:v>None for this variable in the latest document. This variable/source use is not assigned in the latest Additional Variables document; it is retained from an earlier tracker/method or the repository's existing contract.</x:v>
      </x:c>
      <x:c r="K139" s="21" t="str">
        <x:v>Used for the existing earlier-scope repository variable 'Eviction Lab annual eviction filing rate estimate': Estimated annual eviction filings per 100 renter households in Los Angeles County.. It is retained for prior requirements and is not evidence of latest-document source compliance.</x:v>
      </x:c>
      <x:c r="L139" s="21" t="str">
        <x:v>county 2000-12-31 to 2018-12-31: 19/19 non-null across 1 geographies</x:v>
      </x:c>
      <x:c r="M139" s="21" t="str">
        <x:v>Source identification (listed sources only): Within the already-listed Eviction Lab source, verify whether a later LA high-frequency product becomes available; otherwise preserve the annual modeled label and leave high frequency unsatisfied.</x:v>
      </x:c>
      <x:c r="N139" s="21" t="str">
        <x:v>Outside the seven source-scoped groups in Sections 3-9.</x:v>
      </x:c>
    </x:row>
    <x:row r="140" ht="82" customHeight="1">
      <x:c r="A140" s="20" t="n">
        <x:v>136</x:v>
      </x:c>
      <x:c r="B140" s="20" t="str">
        <x:v>General</x:v>
      </x:c>
      <x:c r="C140" s="20" t="str">
        <x:v>eviction_lab_households_threatened_estimate_annual</x:v>
      </x:c>
      <x:c r="D140" s="20" t="str">
        <x:v>Eviction Lab annual households threatened estimate</x:v>
      </x:c>
      <x:c r="E140" s="29" t="str">
        <x:v>Have</x:v>
      </x:c>
      <x:c r="F140" s="25" t="str">
        <x:v>Partial</x:v>
      </x:c>
      <x:c r="G140" s="20" t="str">
        <x:v>eviction_lab_county_estimates (Eviction Lab)</x:v>
      </x:c>
      <x:c r="H140" s="20" t="str">
        <x:v>Eviction Lab</x:v>
      </x:c>
      <x:c r="I140" s="33" t="str">
        <x:v>No</x:v>
      </x:c>
      <x:c r="J140" s="20" t="str">
        <x:v>None for this variable in the latest document. This variable/source use is not assigned in the latest Additional Variables document; it is retained from an earlier tracker/method or the repository's existing contract.</x:v>
      </x:c>
      <x:c r="K140" s="20" t="str">
        <x:v>Used for the existing earlier-scope repository variable 'Eviction Lab annual households threatened estimate': Estimated annual number of renter households threatened with eviction in Los Angeles County.. It is retained for prior requirements and is not evidence of latest-document source compliance.</x:v>
      </x:c>
      <x:c r="L140" s="20" t="str">
        <x:v>county 2000-12-31 to 2018-12-31: 19/19 non-null across 1 geographies</x:v>
      </x:c>
      <x:c r="M140" s="20" t="str">
        <x:v>Source identification (listed sources only): Within the already-listed Eviction Lab source, verify whether a later LA high-frequency product becomes available; otherwise preserve the annual modeled label and leave high frequency unsatisfied.</x:v>
      </x:c>
      <x:c r="N140" s="20" t="str">
        <x:v>Outside the seven source-scoped groups in Sections 3-9.</x:v>
      </x:c>
    </x:row>
    <x:row r="141" ht="82" customHeight="1">
      <x:c r="A141" s="21" t="n">
        <x:v>137</x:v>
      </x:c>
      <x:c r="B141" s="21" t="str">
        <x:v>General</x:v>
      </x:c>
      <x:c r="C141" s="21" t="str">
        <x:v>eviction_lab_households_threatened_ci_95_lower_annual</x:v>
      </x:c>
      <x:c r="D141" s="21" t="str">
        <x:v>Eviction Lab households threatened lower 95% credible interval</x:v>
      </x:c>
      <x:c r="E141" s="29" t="str">
        <x:v>Have</x:v>
      </x:c>
      <x:c r="F141" s="25" t="str">
        <x:v>Partial</x:v>
      </x:c>
      <x:c r="G141" s="21" t="str">
        <x:v>Eviction Lab</x:v>
      </x:c>
      <x:c r="H141" s="21" t="str">
        <x:v>Eviction Lab</x:v>
      </x:c>
      <x:c r="I141" s="33" t="str">
        <x:v>No</x:v>
      </x:c>
      <x:c r="J141" s="21" t="str">
        <x:v>None for this variable in the latest document. This variable/source use is not assigned in the latest Additional Variables document; it is retained from an earlier tracker/method or the repository's existing contract.</x:v>
      </x:c>
      <x:c r="K141" s="21" t="str">
        <x:v>Used for the existing earlier-scope repository variable 'Eviction Lab households threatened lower 95% credible interval': Lower bound of the 95% credible interval for annual renter households threatened with eviction in Los Angeles County.. It is retained for prior requirements and is not evidence of latest-document source compliance.</x:v>
      </x:c>
      <x:c r="L141" s="21" t="str">
        <x:v>county 2000-12-31 to 2018-12-31: 19/19 non-null across 1 geographies</x:v>
      </x:c>
      <x:c r="M141" s="21" t="str">
        <x:v>Source identification (listed sources only): Within the already-listed Eviction Lab source, verify whether a later LA high-frequency product becomes available; otherwise preserve the annual modeled label and leave high frequency unsatisfied.</x:v>
      </x:c>
      <x:c r="N141" s="21" t="str">
        <x:v>Outside the seven source-scoped groups in Sections 3-9.</x:v>
      </x:c>
    </x:row>
    <x:row r="142" ht="82" customHeight="1">
      <x:c r="A142" s="20" t="n">
        <x:v>138</x:v>
      </x:c>
      <x:c r="B142" s="20" t="str">
        <x:v>General</x:v>
      </x:c>
      <x:c r="C142" s="20" t="str">
        <x:v>eviction_lab_households_threatened_ci_95_upper_annual</x:v>
      </x:c>
      <x:c r="D142" s="20" t="str">
        <x:v>Eviction Lab households threatened upper 95% credible interval</x:v>
      </x:c>
      <x:c r="E142" s="29" t="str">
        <x:v>Have</x:v>
      </x:c>
      <x:c r="F142" s="25" t="str">
        <x:v>Partial</x:v>
      </x:c>
      <x:c r="G142" s="20" t="str">
        <x:v>Eviction Lab</x:v>
      </x:c>
      <x:c r="H142" s="20" t="str">
        <x:v>Eviction Lab</x:v>
      </x:c>
      <x:c r="I142" s="33" t="str">
        <x:v>No</x:v>
      </x:c>
      <x:c r="J142" s="20" t="str">
        <x:v>None for this variable in the latest document. This variable/source use is not assigned in the latest Additional Variables document; it is retained from an earlier tracker/method or the repository's existing contract.</x:v>
      </x:c>
      <x:c r="K142" s="20" t="str">
        <x:v>Used for the existing earlier-scope repository variable 'Eviction Lab households threatened upper 95% credible interval': Upper bound of the 95% credible interval for annual renter households threatened with eviction in Los Angeles County.. It is retained for prior requirements and is not evidence of latest-document source compliance.</x:v>
      </x:c>
      <x:c r="L142" s="20" t="str">
        <x:v>county 2000-12-31 to 2018-12-31: 19/19 non-null across 1 geographies</x:v>
      </x:c>
      <x:c r="M142" s="20" t="str">
        <x:v>Source identification (listed sources only): Within the already-listed Eviction Lab source, verify whether a later LA high-frequency product becomes available; otherwise preserve the annual modeled label and leave high frequency unsatisfied.</x:v>
      </x:c>
      <x:c r="N142" s="20" t="str">
        <x:v>Outside the seven source-scoped groups in Sections 3-9.</x:v>
      </x:c>
    </x:row>
    <x:row r="143" ht="82" customHeight="1">
      <x:c r="A143" s="21" t="n">
        <x:v>139</x:v>
      </x:c>
      <x:c r="B143" s="21" t="str">
        <x:v>General</x:v>
      </x:c>
      <x:c r="C143" s="21" t="str">
        <x:v>eviction_lab_households_threatened_rate_estimate_annual</x:v>
      </x:c>
      <x:c r="D143" s="21" t="str">
        <x:v>Eviction Lab annual households threatened rate estimate</x:v>
      </x:c>
      <x:c r="E143" s="29" t="str">
        <x:v>Have</x:v>
      </x:c>
      <x:c r="F143" s="25" t="str">
        <x:v>Partial</x:v>
      </x:c>
      <x:c r="G143" s="21" t="str">
        <x:v>eviction_lab_county_estimates (Constructed from Eviction Lab)</x:v>
      </x:c>
      <x:c r="H143" s="21" t="str">
        <x:v>Constructed from Eviction Lab</x:v>
      </x:c>
      <x:c r="I143" s="33" t="str">
        <x:v>No</x:v>
      </x:c>
      <x:c r="J143" s="21" t="str">
        <x:v>None for this variable in the latest document. This variable/source use is not assigned in the latest Additional Variables document; it is retained from an earlier tracker/method or the repository's existing contract.</x:v>
      </x:c>
      <x:c r="K143" s="21" t="str">
        <x:v>Used for the existing earlier-scope repository variable 'Eviction Lab annual households threatened rate estimate': Estimated annual renter households threatened with eviction per 100 renter households in Los Angeles County.. It is retained for prior requirements and is not evidence of latest-document source compliance.</x:v>
      </x:c>
      <x:c r="L143" s="21" t="str">
        <x:v>county 2000-12-31 to 2018-12-31: 19/19 non-null across 1 geographies</x:v>
      </x:c>
      <x:c r="M143" s="21" t="str">
        <x:v>Source identification (listed sources only): Within the already-listed Eviction Lab source, verify whether a later LA high-frequency product becomes available; otherwise preserve the annual modeled label and leave high frequency unsatisfied.</x:v>
      </x:c>
      <x:c r="N143" s="21" t="str">
        <x:v>Outside the seven source-scoped groups in Sections 3-9.</x:v>
      </x:c>
    </x:row>
    <x:row r="144" ht="82" customHeight="1">
      <x:c r="A144" s="20" t="n">
        <x:v>140</x:v>
      </x:c>
      <x:c r="B144" s="20" t="str">
        <x:v>General</x:v>
      </x:c>
      <x:c r="C144" s="20" t="str">
        <x:v>eviction_lab_filings_court_issued_observed_flag</x:v>
      </x:c>
      <x:c r="D144" s="20" t="str">
        <x:v>Eviction Lab filings court-issued observed flag</x:v>
      </x:c>
      <x:c r="E144" s="29" t="str">
        <x:v>Have</x:v>
      </x:c>
      <x:c r="F144" s="25" t="str">
        <x:v>Partial</x:v>
      </x:c>
      <x:c r="G144" s="20" t="str">
        <x:v>Eviction Lab</x:v>
      </x:c>
      <x:c r="H144" s="20" t="str">
        <x:v>Eviction Lab</x:v>
      </x:c>
      <x:c r="I144" s="33" t="str">
        <x:v>No</x:v>
      </x:c>
      <x:c r="J144" s="20" t="str">
        <x:v>None for this variable in the latest document. This variable/source use is not assigned in the latest Additional Variables document; it is retained from an earlier tracker/method or the repository's existing contract.</x:v>
      </x:c>
      <x:c r="K144" s="20" t="str">
        <x:v>Used for the existing earlier-scope repository variable 'Eviction Lab filings court-issued observed flag': Indicator that the number of filings was observed in court-issued data for the county-year.. It is retained for prior requirements and is not evidence of latest-document source compliance.</x:v>
      </x:c>
      <x:c r="L144" s="20" t="str">
        <x:v>county 2000-12-31 to 2018-12-31: 19/19 non-null across 1 geographies</x:v>
      </x:c>
      <x:c r="M144" s="20" t="str">
        <x:v>Source identification (listed sources only): Within the already-listed Eviction Lab source, verify whether a later LA high-frequency product becomes available; otherwise preserve the annual modeled label and leave high frequency unsatisfied.</x:v>
      </x:c>
      <x:c r="N144" s="20" t="str">
        <x:v>Outside the seven source-scoped groups in Sections 3-9.</x:v>
      </x:c>
    </x:row>
    <x:row r="145" ht="82" customHeight="1">
      <x:c r="A145" s="21" t="n">
        <x:v>141</x:v>
      </x:c>
      <x:c r="B145" s="21" t="str">
        <x:v>General</x:v>
      </x:c>
      <x:c r="C145" s="21" t="str">
        <x:v>eviction_lab_filings_court_issued_landlord_tenant_flag</x:v>
      </x:c>
      <x:c r="D145" s="21" t="str">
        <x:v>Eviction Lab filings landlord-tenant court data flag</x:v>
      </x:c>
      <x:c r="E145" s="29" t="str">
        <x:v>Have</x:v>
      </x:c>
      <x:c r="F145" s="25" t="str">
        <x:v>Partial</x:v>
      </x:c>
      <x:c r="G145" s="21" t="str">
        <x:v>Eviction Lab</x:v>
      </x:c>
      <x:c r="H145" s="21" t="str">
        <x:v>Eviction Lab</x:v>
      </x:c>
      <x:c r="I145" s="33" t="str">
        <x:v>No</x:v>
      </x:c>
      <x:c r="J145" s="21" t="str">
        <x:v>None for this variable in the latest document. This variable/source use is not assigned in the latest Additional Variables document; it is retained from an earlier tracker/method or the repository's existing contract.</x:v>
      </x:c>
      <x:c r="K145" s="21" t="str">
        <x:v>Used for the existing earlier-scope repository variable 'Eviction Lab filings landlord-tenant court data flag': Indicator that court-issued filings data are landlord-tenant cases for the county-year.. It is retained for prior requirements and is not evidence of latest-document source compliance.</x:v>
      </x:c>
      <x:c r="L145" s="21" t="str">
        <x:v>county 2002-12-31 to 2017-12-31: 15/15 non-null across 1 geographies</x:v>
      </x:c>
      <x:c r="M145" s="21" t="str">
        <x:v>Source identification (listed sources only): Within the already-listed Eviction Lab source, verify whether a later LA high-frequency product becomes available; otherwise preserve the annual modeled label and leave high frequency unsatisfied.</x:v>
      </x:c>
      <x:c r="N145" s="21" t="str">
        <x:v>Outside the seven source-scoped groups in Sections 3-9.</x:v>
      </x:c>
    </x:row>
    <x:row r="146" ht="82" customHeight="1">
      <x:c r="A146" s="20" t="n">
        <x:v>142</x:v>
      </x:c>
      <x:c r="B146" s="20" t="str">
        <x:v>General</x:v>
      </x:c>
      <x:c r="C146" s="20" t="str">
        <x:v>eviction_lab_households_threatened_observed_flag</x:v>
      </x:c>
      <x:c r="D146" s="20" t="str">
        <x:v>Eviction Lab households threatened observed flag</x:v>
      </x:c>
      <x:c r="E146" s="29" t="str">
        <x:v>Have</x:v>
      </x:c>
      <x:c r="F146" s="25" t="str">
        <x:v>Partial</x:v>
      </x:c>
      <x:c r="G146" s="20" t="str">
        <x:v>Eviction Lab</x:v>
      </x:c>
      <x:c r="H146" s="20" t="str">
        <x:v>Eviction Lab</x:v>
      </x:c>
      <x:c r="I146" s="33" t="str">
        <x:v>No</x:v>
      </x:c>
      <x:c r="J146" s="20" t="str">
        <x:v>None for this variable in the latest document. This variable/source use is not assigned in the latest Additional Variables document; it is retained from an earlier tracker/method or the repository's existing contract.</x:v>
      </x:c>
      <x:c r="K146" s="20" t="str">
        <x:v>Used for the existing earlier-scope repository variable 'Eviction Lab households threatened observed flag': Indicator that households threatened with eviction were observed in source data for the county-year.. It is retained for prior requirements and is not evidence of latest-document source compliance.</x:v>
      </x:c>
      <x:c r="L146" s="20" t="str">
        <x:v>county 2000-12-31 to 2018-12-31: 19/19 non-null across 1 geographies</x:v>
      </x:c>
      <x:c r="M146" s="20" t="str">
        <x:v>Source identification (listed sources only): Within the already-listed Eviction Lab source, verify whether a later LA high-frequency product becomes available; otherwise preserve the annual modeled label and leave high frequency unsatisfied.</x:v>
      </x:c>
      <x:c r="N146" s="20" t="str">
        <x:v>Outside the seven source-scoped groups in Sections 3-9.</x:v>
      </x:c>
    </x:row>
    <x:row r="147" ht="82" customHeight="1">
      <x:c r="A147" s="21" t="n">
        <x:v>143</x:v>
      </x:c>
      <x:c r="B147" s="21" t="str">
        <x:v>General</x:v>
      </x:c>
      <x:c r="C147" s="21" t="str">
        <x:v>zhvi_growth_mom</x:v>
      </x:c>
      <x:c r="D147" s="21" t="str">
        <x:v>ZHVI Month-over-Month Growth</x:v>
      </x:c>
      <x:c r="E147" s="29" t="str">
        <x:v>Have</x:v>
      </x:c>
      <x:c r="F147" s="29" t="str">
        <x:v>Have</x:v>
      </x:c>
      <x:c r="G147" s="21" t="str">
        <x:v>zillow_county_zhvi | zillow_zip_zhvi (Constructed)</x:v>
      </x:c>
      <x:c r="H147" s="21" t="str">
        <x:v>Constructed</x:v>
      </x:c>
      <x:c r="I147" s="33" t="str">
        <x:v>No</x:v>
      </x:c>
      <x:c r="J147" s="21" t="str">
        <x:v>None for this variable in the latest document. This variable/source use is not assigned in the latest Additional Variables document; it is retained from an earlier tracker/method or the repository's existing contract.</x:v>
      </x:c>
      <x:c r="K147" s="21" t="str">
        <x:v>Used for the existing earlier-scope repository variable 'ZHVI Month-over-Month Growth': Fractional change in ZHVI from the prior month. It is retained for prior requirements and is not evidence of latest-document source compliance.</x:v>
      </x:c>
      <x:c r="L147" s="21" t="str">
        <x:v>Current repository output has at least one non-null value. Coverage follows the upstream source/output table; missing-value rule: require current and prior value.</x:v>
      </x:c>
      <x:c r="M147" s="21" t="str">
        <x:v>None beyond source-specific refresh and QA.</x:v>
      </x:c>
      <x:c r="N147" s="21" t="str">
        <x:v>Outside the seven source-scoped groups in Sections 3-9.</x:v>
      </x:c>
    </x:row>
    <x:row r="148" ht="82" customHeight="1">
      <x:c r="A148" s="20" t="n">
        <x:v>144</x:v>
      </x:c>
      <x:c r="B148" s="20" t="str">
        <x:v>General</x:v>
      </x:c>
      <x:c r="C148" s="20" t="str">
        <x:v>zhvi_growth_yoy</x:v>
      </x:c>
      <x:c r="D148" s="20" t="str">
        <x:v>ZHVI Year-over-Year Growth</x:v>
      </x:c>
      <x:c r="E148" s="29" t="str">
        <x:v>Have</x:v>
      </x:c>
      <x:c r="F148" s="29" t="str">
        <x:v>Have</x:v>
      </x:c>
      <x:c r="G148" s="20" t="str">
        <x:v>zillow_county_zhvi | zillow_zip_zhvi (Constructed)</x:v>
      </x:c>
      <x:c r="H148" s="20" t="str">
        <x:v>Constructed</x:v>
      </x:c>
      <x:c r="I148" s="33" t="str">
        <x:v>No</x:v>
      </x:c>
      <x:c r="J148" s="20" t="str">
        <x:v>None for this variable in the latest document. This variable/source use is not assigned in the latest Additional Variables document; it is retained from an earlier tracker/method or the repository's existing contract.</x:v>
      </x:c>
      <x:c r="K148" s="20" t="str">
        <x:v>Used for the existing earlier-scope repository variable 'ZHVI Year-over-Year Growth': Fractional change in ZHVI from twelve months earlier. It is retained for prior requirements and is not evidence of latest-document source compliance.</x:v>
      </x:c>
      <x:c r="L148" s="20" t="str">
        <x:v>Current repository output has at least one non-null value. Coverage follows the upstream source/output table; missing-value rule: require current and lagged value.</x:v>
      </x:c>
      <x:c r="M148" s="20" t="str">
        <x:v>None beyond source-specific refresh and QA.</x:v>
      </x:c>
      <x:c r="N148" s="20" t="str">
        <x:v>Outside the seven source-scoped groups in Sections 3-9.</x:v>
      </x:c>
    </x:row>
    <x:row r="149" ht="82" customHeight="1">
      <x:c r="A149" s="21" t="n">
        <x:v>145</x:v>
      </x:c>
      <x:c r="B149" s="21" t="str">
        <x:v>General</x:v>
      </x:c>
      <x:c r="C149" s="21" t="str">
        <x:v>zori_growth_mom</x:v>
      </x:c>
      <x:c r="D149" s="21" t="str">
        <x:v>ZORI Month-over-Month Growth</x:v>
      </x:c>
      <x:c r="E149" s="29" t="str">
        <x:v>Have</x:v>
      </x:c>
      <x:c r="F149" s="29" t="str">
        <x:v>Have</x:v>
      </x:c>
      <x:c r="G149" s="21" t="str">
        <x:v>zillow_county_zori_smoothed_sa | zillow_zip_zori_smoothed_sa (Constructed)</x:v>
      </x:c>
      <x:c r="H149" s="21" t="str">
        <x:v>Constructed</x:v>
      </x:c>
      <x:c r="I149" s="25" t="str">
        <x:v>Partial/context</x:v>
      </x:c>
      <x:c r="J149" s="21" t="str">
        <x:v>Zillow Housing Data / ZORI. ZORI is listed, but the latest document specifies only the year-over-year outcome for this construction, not a standalone MoM variable.</x:v>
      </x:c>
      <x:c r="K149" s="21" t="str">
        <x:v>Fractional change in SA ZORI from the prior month. The current source is usable for this labeled contextual/earlier field only; the latest document does not fully authorize this exact variable-use.</x:v>
      </x:c>
      <x:c r="L149" s="21" t="str">
        <x:v>LA County: 136 MoM and 125 YoY values; postal ZIP: 10,195 MoM and 14,800 YoY values through 2026-05 Gap: ZIP growth inherits Zillow source-geography and exact-calendar gaps; no county value fills a missing ZIP month.</x:v>
      </x:c>
      <x:c r="M149" s="21" t="str">
        <x:v>None beyond source-specific refresh and QA.</x:v>
      </x:c>
      <x:c r="N149" s="21" t="str">
        <x:v>Section 9 specifies zori_yoy only.</x:v>
      </x:c>
    </x:row>
    <x:row r="150" ht="82" customHeight="1">
      <x:c r="A150" s="20" t="n">
        <x:v>146</x:v>
      </x:c>
      <x:c r="B150" s="20" t="str">
        <x:v>General</x:v>
      </x:c>
      <x:c r="C150" s="20" t="str">
        <x:v>zori_growth_yoy</x:v>
      </x:c>
      <x:c r="D150" s="20" t="str">
        <x:v>ZORI Year-over-Year Growth</x:v>
      </x:c>
      <x:c r="E150" s="29" t="str">
        <x:v>Have</x:v>
      </x:c>
      <x:c r="F150" s="29" t="str">
        <x:v>Have</x:v>
      </x:c>
      <x:c r="G150" s="20" t="str">
        <x:v>zillow_county_zori_smoothed_sa | zillow_zip_zori_smoothed_sa (Constructed)</x:v>
      </x:c>
      <x:c r="H150" s="20" t="str">
        <x:v>Constructed</x:v>
      </x:c>
      <x:c r="I150" s="29" t="str">
        <x:v>Yes</x:v>
      </x:c>
      <x:c r="J150" s="20" t="str">
        <x:v>Zillow Housing Data / ZORI. Explicit ZORI year-over-year outcome input for the still-unbuilt noncontrolled-rent proxy.</x:v>
      </x:c>
      <x:c r="K150" s="20" t="str">
        <x:v>Fractional change in SA ZORI from twelve months earlier. Used within the latest document's stated variable-specific role and limitations.</x:v>
      </x:c>
      <x:c r="L150" s="20" t="str">
        <x:v>LA County: 136 MoM and 125 YoY values; postal ZIP: 10,195 MoM and 14,800 YoY values through 2026-05 Gap: ZIP growth inherits Zillow source-geography and exact-calendar gaps; no county value fills a missing ZIP month.</x:v>
      </x:c>
      <x:c r="M150" s="20" t="str">
        <x:v>None beyond source-specific refresh and QA.</x:v>
      </x:c>
      <x:c r="N150" s="20" t="str">
        <x:v>Section 9 outcome construction.</x:v>
      </x:c>
    </x:row>
    <x:row r="151" ht="82" customHeight="1">
      <x:c r="A151" s="21" t="n">
        <x:v>147</x:v>
      </x:c>
      <x:c r="B151" s="21" t="str">
        <x:v>General</x:v>
      </x:c>
      <x:c r="C151" s="21" t="str">
        <x:v>inventory_growth_mom</x:v>
      </x:c>
      <x:c r="D151" s="21" t="str">
        <x:v>Active Inventory Month-over-Month Growth</x:v>
      </x:c>
      <x:c r="E151" s="29" t="str">
        <x:v>Have</x:v>
      </x:c>
      <x:c r="F151" s="29" t="str">
        <x:v>Have</x:v>
      </x:c>
      <x:c r="G151" s="21" t="str">
        <x:v>redfin_county_monthly (Constructed)</x:v>
      </x:c>
      <x:c r="H151" s="21" t="str">
        <x:v>Constructed</x:v>
      </x:c>
      <x:c r="I151" s="33" t="str">
        <x:v>No</x:v>
      </x:c>
      <x:c r="J151" s="21" t="str">
        <x:v>None for this variable in the latest document. This variable/source use is not assigned in the latest Additional Variables document; it is retained from an earlier tracker/method or the repository's existing contract.</x:v>
      </x:c>
      <x:c r="K151" s="21" t="str">
        <x:v>Used for the existing earlier-scope repository variable 'Active Inventory Month-over-Month Growth': Fractional change in active for-sale inventory from the prior month. It is retained for prior requirements and is not evidence of latest-document source compliance.</x:v>
      </x:c>
      <x:c r="L151" s="21" t="str">
        <x:v>Current repository output has at least one non-null value. Coverage follows the upstream source/output table; missing-value rule: require current and prior value.</x:v>
      </x:c>
      <x:c r="M151" s="21" t="str">
        <x:v>None beyond source-specific refresh and QA.</x:v>
      </x:c>
      <x:c r="N151" s="21" t="str">
        <x:v>Outside the seven source-scoped groups in Sections 3-9.</x:v>
      </x:c>
    </x:row>
    <x:row r="152" ht="82" customHeight="1">
      <x:c r="A152" s="20" t="n">
        <x:v>148</x:v>
      </x:c>
      <x:c r="B152" s="20" t="str">
        <x:v>General</x:v>
      </x:c>
      <x:c r="C152" s="20" t="str">
        <x:v>inventory_growth_yoy</x:v>
      </x:c>
      <x:c r="D152" s="20" t="str">
        <x:v>Active Inventory Year-over-Year Growth</x:v>
      </x:c>
      <x:c r="E152" s="29" t="str">
        <x:v>Have</x:v>
      </x:c>
      <x:c r="F152" s="29" t="str">
        <x:v>Have</x:v>
      </x:c>
      <x:c r="G152" s="20" t="str">
        <x:v>redfin_county_monthly (Constructed)</x:v>
      </x:c>
      <x:c r="H152" s="20" t="str">
        <x:v>Constructed</x:v>
      </x:c>
      <x:c r="I152" s="33" t="str">
        <x:v>No</x:v>
      </x:c>
      <x:c r="J152" s="20" t="str">
        <x:v>None for this variable in the latest document. This variable/source use is not assigned in the latest Additional Variables document; it is retained from an earlier tracker/method or the repository's existing contract.</x:v>
      </x:c>
      <x:c r="K152" s="20" t="str">
        <x:v>Used for the existing earlier-scope repository variable 'Active Inventory Year-over-Year Growth': Fractional change in active for-sale inventory from twelve months earlier. It is retained for prior requirements and is not evidence of latest-document source compliance.</x:v>
      </x:c>
      <x:c r="L152" s="20" t="str">
        <x:v>Current repository output has at least one non-null value. Coverage follows the upstream source/output table; missing-value rule: require current and lagged value.</x:v>
      </x:c>
      <x:c r="M152" s="20" t="str">
        <x:v>None beyond source-specific refresh and QA.</x:v>
      </x:c>
      <x:c r="N152" s="20" t="str">
        <x:v>Outside the seven source-scoped groups in Sections 3-9.</x:v>
      </x:c>
    </x:row>
    <x:row r="153" ht="82" customHeight="1">
      <x:c r="A153" s="21" t="n">
        <x:v>149</x:v>
      </x:c>
      <x:c r="B153" s="21" t="str">
        <x:v>General</x:v>
      </x:c>
      <x:c r="C153" s="21" t="str">
        <x:v>price_to_rent_ratio</x:v>
      </x:c>
      <x:c r="D153" s="21" t="str">
        <x:v>Price-to-Rent Ratio</x:v>
      </x:c>
      <x:c r="E153" s="29" t="str">
        <x:v>Have</x:v>
      </x:c>
      <x:c r="F153" s="29" t="str">
        <x:v>Have</x:v>
      </x:c>
      <x:c r="G153" s="21" t="str">
        <x:v>zillow_county_zhvi | zillow_county_zori_smoothed_sa | zillow_zip_zhvi | zillow_zip_zori_smoothed_sa (Constructed)</x:v>
      </x:c>
      <x:c r="H153" s="21" t="str">
        <x:v>Constructed</x:v>
      </x:c>
      <x:c r="I153" s="29" t="str">
        <x:v>Yes</x:v>
      </x:c>
      <x:c r="J153" s="21" t="str">
        <x:v>Zillow Housing Data: compatible ZHVI and ZORI. Explicit matched-month Zillow price-to-rent input/output.</x:v>
      </x:c>
      <x:c r="K153" s="21" t="str">
        <x:v>ZHVI divided by twelve times monthly SA ZORI. Used within the latest document's stated variable-specific role and limitations.</x:v>
      </x:c>
      <x:c r="L153" s="21" t="str">
        <x:v>137 LA County months and 17,866 postal-ZIP months with positive matched ZHVI/ZORI, 2015-01 through 2026-05 Gap: ZIP values inherit Zillow source-geography and monthly missingness; no county values are used to fill them.</x:v>
      </x:c>
      <x:c r="M153" s="21" t="str">
        <x:v>None beyond source-specific refresh and QA.</x:v>
      </x:c>
      <x:c r="N153" s="21" t="str">
        <x:v>Section 6 and Section 11 naming table.</x:v>
      </x:c>
    </x:row>
    <x:row r="154" ht="82" customHeight="1">
      <x:c r="A154" s="20" t="n">
        <x:v>150</x:v>
      </x:c>
      <x:c r="B154" s="20" t="str">
        <x:v>General</x:v>
      </x:c>
      <x:c r="C154" s="20" t="str">
        <x:v>price_to_rent_ratio_zillow</x:v>
      </x:c>
      <x:c r="D154" s="20" t="str">
        <x:v>Zillow price-to-rent ratio</x:v>
      </x:c>
      <x:c r="E154" s="29" t="str">
        <x:v>Have</x:v>
      </x:c>
      <x:c r="F154" s="29" t="str">
        <x:v>Have</x:v>
      </x:c>
      <x:c r="G154" s="20" t="str">
        <x:v>zillow_county_zhvi | zillow_county_zori_smoothed_sa | zillow_zip_zhvi | zillow_zip_zori_smoothed_sa (Constructed from Zillow Research)</x:v>
      </x:c>
      <x:c r="H154" s="20" t="str">
        <x:v>Constructed from Zillow Research</x:v>
      </x:c>
      <x:c r="I154" s="29" t="str">
        <x:v>Yes</x:v>
      </x:c>
      <x:c r="J154" s="20" t="str">
        <x:v>Zillow Housing Data: compatible ZHVI and ZORI. Explicit matched-month Zillow price-to-rent input/output.</x:v>
      </x:c>
      <x:c r="K154" s="20" t="str">
        <x:v>Positive Zillow ZHVI divided by twelve times positive monthly Zillow ZORI at the same geography and month.. Used within the latest document's stated variable-specific role and limitations.</x:v>
      </x:c>
      <x:c r="L154" s="20" t="str">
        <x:v>137 LA County months and 17,866 postal-ZIP months with positive matched ZHVI/ZORI, 2015-01 through 2026-05 Gap: ZIP values inherit Zillow source-geography and monthly missingness; no county values are used to fill them.</x:v>
      </x:c>
      <x:c r="M154" s="20" t="str">
        <x:v>None beyond source-specific refresh and QA.</x:v>
      </x:c>
      <x:c r="N154" s="20" t="str">
        <x:v>Section 6 and Section 11 naming table.</x:v>
      </x:c>
    </x:row>
    <x:row r="155" ht="82" customHeight="1">
      <x:c r="A155" s="21" t="n">
        <x:v>151</x:v>
      </x:c>
      <x:c r="B155" s="21" t="str">
        <x:v>General</x:v>
      </x:c>
      <x:c r="C155" s="21" t="str">
        <x:v>implied_gross_rent_yield</x:v>
      </x:c>
      <x:c r="D155" s="21" t="str">
        <x:v>Implied gross rent yield</x:v>
      </x:c>
      <x:c r="E155" s="29" t="str">
        <x:v>Have</x:v>
      </x:c>
      <x:c r="F155" s="29" t="str">
        <x:v>Have</x:v>
      </x:c>
      <x:c r="G155" s="21" t="str">
        <x:v>zillow_county_zhvi | zillow_county_zori_smoothed_sa | zillow_zip_zhvi | zillow_zip_zori_smoothed_sa (Constructed from Zillow Research)</x:v>
      </x:c>
      <x:c r="H155" s="21" t="str">
        <x:v>Constructed from Zillow Research</x:v>
      </x:c>
      <x:c r="I155" s="29" t="str">
        <x:v>Yes</x:v>
      </x:c>
      <x:c r="J155" s="21" t="str">
        <x:v>Zillow Housing Data: compatible ZHVI and ZORI. Explicit matched-month Zillow price-to-rent input/output.</x:v>
      </x:c>
      <x:c r="K155" s="21" t="str">
        <x:v>Twelve times positive monthly Zillow ZORI divided by positive Zillow ZHVI at the same geography and month.. Used within the latest document's stated variable-specific role and limitations.</x:v>
      </x:c>
      <x:c r="L155" s="21" t="str">
        <x:v>137 LA County months and 17,866 postal-ZIP months with positive matched ZHVI/ZORI Gap: ZIP values inherit Zillow source-geography and monthly missingness.</x:v>
      </x:c>
      <x:c r="M155" s="21" t="str">
        <x:v>None beyond source-specific refresh and QA.</x:v>
      </x:c>
      <x:c r="N155" s="21" t="str">
        <x:v>Section 6 and Section 11 naming table.</x:v>
      </x:c>
    </x:row>
    <x:row r="156" ht="82" customHeight="1">
      <x:c r="A156" s="20" t="n">
        <x:v>152</x:v>
      </x:c>
      <x:c r="B156" s="20" t="str">
        <x:v>General</x:v>
      </x:c>
      <x:c r="C156" s="20" t="str">
        <x:v>inventory_to_sales_ratio</x:v>
      </x:c>
      <x:c r="D156" s="20" t="str">
        <x:v>Inventory-to-Sales Ratio</x:v>
      </x:c>
      <x:c r="E156" s="29" t="str">
        <x:v>Have</x:v>
      </x:c>
      <x:c r="F156" s="29" t="str">
        <x:v>Have</x:v>
      </x:c>
      <x:c r="G156" s="20" t="str">
        <x:v>redfin_county_monthly (Constructed)</x:v>
      </x:c>
      <x:c r="H156" s="20" t="str">
        <x:v>Constructed</x:v>
      </x:c>
      <x:c r="I156" s="33" t="str">
        <x:v>No</x:v>
      </x:c>
      <x:c r="J156" s="20" t="str">
        <x:v>None for this variable in the latest document. This variable/source use is not assigned in the latest Additional Variables document; it is retained from an earlier tracker/method or the repository's existing contract.</x:v>
      </x:c>
      <x:c r="K156" s="20" t="str">
        <x:v>Used for the existing earlier-scope repository variable 'Inventory-to-Sales Ratio': Active for-sale inventory divided by monthly homes sold. It is retained for prior requirements and is not evidence of latest-document source compliance.</x:v>
      </x:c>
      <x:c r="L156" s="20" t="str">
        <x:v>173 LA County months, 2012-01 through 2026-05 Gap: The listed proxy measures sales/inventory liquidity, not sales divided by the total housing stock.</x:v>
      </x:c>
      <x:c r="M156" s="20" t="str">
        <x:v>None beyond source-specific refresh and QA.</x:v>
      </x:c>
      <x:c r="N156" s="20" t="str">
        <x:v>Outside the seven source-scoped groups in Sections 3-9.</x:v>
      </x:c>
    </x:row>
    <x:row r="157" ht="82" customHeight="1">
      <x:c r="A157" s="21" t="n">
        <x:v>153</x:v>
      </x:c>
      <x:c r="B157" s="21" t="str">
        <x:v>General</x:v>
      </x:c>
      <x:c r="C157" s="21" t="str">
        <x:v>mortgage_payment_10pct_down</x:v>
      </x:c>
      <x:c r="D157" s="21" t="str">
        <x:v>Mortgage Payment with 10 Percent Down</x:v>
      </x:c>
      <x:c r="E157" s="29" t="str">
        <x:v>Have</x:v>
      </x:c>
      <x:c r="F157" s="29" t="str">
        <x:v>Have</x:v>
      </x:c>
      <x:c r="G157" s="21" t="str">
        <x:v>freddie_mac_pmms | redfin_county_monthly (Constructed)</x:v>
      </x:c>
      <x:c r="H157" s="21" t="str">
        <x:v>Constructed</x:v>
      </x:c>
      <x:c r="I157" s="33" t="str">
        <x:v>No</x:v>
      </x:c>
      <x:c r="J157" s="21" t="str">
        <x:v>None for this variable in the latest document. This variable/source use is not assigned in the latest Additional Variables document; it is retained from an earlier tracker/method or the repository's existing contract.</x:v>
      </x:c>
      <x:c r="K157" s="21" t="str">
        <x:v>Used for the existing earlier-scope repository variable 'Mortgage Payment with 10 Percent Down': Monthly principal and interest on the county median sale price with 10 percent down. It is retained for prior requirements and is not evidence of latest-document source compliance.</x:v>
      </x:c>
      <x:c r="L157" s="21" t="str">
        <x:v>173 LA County months, 2012-01 through 2026-05</x:v>
      </x:c>
      <x:c r="M157" s="21" t="str">
        <x:v>None beyond source-specific refresh and QA.</x:v>
      </x:c>
      <x:c r="N157" s="21" t="str">
        <x:v>Outside the seven source-scoped groups in Sections 3-9.</x:v>
      </x:c>
    </x:row>
    <x:row r="158" ht="82" customHeight="1">
      <x:c r="A158" s="20" t="n">
        <x:v>154</x:v>
      </x:c>
      <x:c r="B158" s="20" t="str">
        <x:v>General</x:v>
      </x:c>
      <x:c r="C158" s="20" t="str">
        <x:v>mortgage_payment_20pct_down</x:v>
      </x:c>
      <x:c r="D158" s="20" t="str">
        <x:v>Mortgage Payment with 20 Percent Down</x:v>
      </x:c>
      <x:c r="E158" s="29" t="str">
        <x:v>Have</x:v>
      </x:c>
      <x:c r="F158" s="29" t="str">
        <x:v>Have</x:v>
      </x:c>
      <x:c r="G158" s="20" t="str">
        <x:v>freddie_mac_pmms | redfin_county_monthly (Constructed)</x:v>
      </x:c>
      <x:c r="H158" s="20" t="str">
        <x:v>Constructed</x:v>
      </x:c>
      <x:c r="I158" s="33" t="str">
        <x:v>No</x:v>
      </x:c>
      <x:c r="J158" s="20" t="str">
        <x:v>None for this variable in the latest document. This variable/source use is not assigned in the latest Additional Variables document; it is retained from an earlier tracker/method or the repository's existing contract.</x:v>
      </x:c>
      <x:c r="K158" s="20" t="str">
        <x:v>Used for the existing earlier-scope repository variable 'Mortgage Payment with 20 Percent Down': Monthly principal and interest on the county median sale price with 20 percent down. It is retained for prior requirements and is not evidence of latest-document source compliance.</x:v>
      </x:c>
      <x:c r="L158" s="20" t="str">
        <x:v>173 LA County months, 2012-01 through 2026-05</x:v>
      </x:c>
      <x:c r="M158" s="20" t="str">
        <x:v>None beyond source-specific refresh and QA.</x:v>
      </x:c>
      <x:c r="N158" s="20" t="str">
        <x:v>Outside the seven source-scoped groups in Sections 3-9.</x:v>
      </x:c>
    </x:row>
    <x:row r="159" ht="82" customHeight="1">
      <x:c r="A159" s="21" t="n">
        <x:v>155</x:v>
      </x:c>
      <x:c r="B159" s="21" t="str">
        <x:v>General</x:v>
      </x:c>
      <x:c r="C159" s="21" t="str">
        <x:v>mortgage_payment_to_rent_10pct_down</x:v>
      </x:c>
      <x:c r="D159" s="21" t="str">
        <x:v>Mortgage Payment-to-Rent with 10 Percent Down</x:v>
      </x:c>
      <x:c r="E159" s="29" t="str">
        <x:v>Have</x:v>
      </x:c>
      <x:c r="F159" s="29" t="str">
        <x:v>Have</x:v>
      </x:c>
      <x:c r="G159" s="21" t="str">
        <x:v>freddie_mac_pmms | redfin_county_monthly | zillow_county_zori_smoothed_sa (Constructed)</x:v>
      </x:c>
      <x:c r="H159" s="21" t="str">
        <x:v>Constructed</x:v>
      </x:c>
      <x:c r="I159" s="33" t="str">
        <x:v>No</x:v>
      </x:c>
      <x:c r="J159" s="21" t="str">
        <x:v>None for this variable in the latest document. This variable/source use is not assigned in the latest Additional Variables document; it is retained from an earlier tracker/method or the repository's existing contract.</x:v>
      </x:c>
      <x:c r="K159" s="21" t="str">
        <x:v>Used for the existing earlier-scope repository variable 'Mortgage Payment-to-Rent with 10 Percent Down': Constructed 10-percent-down principal-and-interest payment divided by monthly SA ZORI. It is retained for prior requirements and is not evidence of latest-document source compliance.</x:v>
      </x:c>
      <x:c r="L159" s="21" t="str">
        <x:v>Current repository output has at least one non-null value. Coverage follows the upstream source/output table; missing-value rule: require both components.</x:v>
      </x:c>
      <x:c r="M159" s="21" t="str">
        <x:v>None beyond source-specific refresh and QA.</x:v>
      </x:c>
      <x:c r="N159" s="21" t="str">
        <x:v>Outside the seven source-scoped groups in Sections 3-9.</x:v>
      </x:c>
    </x:row>
    <x:row r="160" ht="82" customHeight="1">
      <x:c r="A160" s="20" t="n">
        <x:v>156</x:v>
      </x:c>
      <x:c r="B160" s="20" t="str">
        <x:v>General</x:v>
      </x:c>
      <x:c r="C160" s="20" t="str">
        <x:v>mortgage_payment_to_rent_20pct_down</x:v>
      </x:c>
      <x:c r="D160" s="20" t="str">
        <x:v>Mortgage Payment-to-Rent with 20 Percent Down</x:v>
      </x:c>
      <x:c r="E160" s="29" t="str">
        <x:v>Have</x:v>
      </x:c>
      <x:c r="F160" s="29" t="str">
        <x:v>Have</x:v>
      </x:c>
      <x:c r="G160" s="20" t="str">
        <x:v>freddie_mac_pmms | redfin_county_monthly | zillow_county_zori_smoothed_sa (Constructed)</x:v>
      </x:c>
      <x:c r="H160" s="20" t="str">
        <x:v>Constructed</x:v>
      </x:c>
      <x:c r="I160" s="33" t="str">
        <x:v>No</x:v>
      </x:c>
      <x:c r="J160" s="20" t="str">
        <x:v>None for this variable in the latest document. This variable/source use is not assigned in the latest Additional Variables document; it is retained from an earlier tracker/method or the repository's existing contract.</x:v>
      </x:c>
      <x:c r="K160" s="20" t="str">
        <x:v>Used for the existing earlier-scope repository variable 'Mortgage Payment-to-Rent with 20 Percent Down': Constructed 20-percent-down principal-and-interest payment divided by monthly SA ZORI. It is retained for prior requirements and is not evidence of latest-document source compliance.</x:v>
      </x:c>
      <x:c r="L160" s="20" t="str">
        <x:v>Current repository output has at least one non-null value. Coverage follows the upstream source/output table; missing-value rule: require both components.</x:v>
      </x:c>
      <x:c r="M160" s="20" t="str">
        <x:v>None beyond source-specific refresh and QA.</x:v>
      </x:c>
      <x:c r="N160" s="20" t="str">
        <x:v>Outside the seven source-scoped groups in Sections 3-9.</x:v>
      </x:c>
    </x:row>
    <x:row r="161" ht="82" customHeight="1">
      <x:c r="A161" s="21" t="n">
        <x:v>157</x:v>
      </x:c>
      <x:c r="B161" s="21" t="str">
        <x:v>General</x:v>
      </x:c>
      <x:c r="C161" s="21" t="str">
        <x:v>market_tightness_index</x:v>
      </x:c>
      <x:c r="D161" s="21" t="str">
        <x:v>Market Tightness Index</x:v>
      </x:c>
      <x:c r="E161" s="29" t="str">
        <x:v>Have</x:v>
      </x:c>
      <x:c r="F161" s="29" t="str">
        <x:v>Have</x:v>
      </x:c>
      <x:c r="G161" s="21" t="str">
        <x:v>redfin_county_monthly (Constructed)</x:v>
      </x:c>
      <x:c r="H161" s="21" t="str">
        <x:v>Constructed</x:v>
      </x:c>
      <x:c r="I161" s="33" t="str">
        <x:v>No</x:v>
      </x:c>
      <x:c r="J161" s="21" t="str">
        <x:v>None for this variable in the latest document. This variable/source use is not assigned in the latest Additional Variables document; it is retained from an earlier tracker/method or the repository's existing contract.</x:v>
      </x:c>
      <x:c r="K161" s="21" t="str">
        <x:v>Used for the existing earlier-scope repository variable 'Market Tightness Index': Mean of available oriented z-scores for supply market-time inventory-growth and price-drop components. It is retained for prior requirements and is not evidence of latest-document source compliance.</x:v>
      </x:c>
      <x:c r="L161" s="21" t="str">
        <x:v>Current repository output has at least one non-null value. Coverage follows the upstream source/output table; missing-value rule: require configured minimum component count.</x:v>
      </x:c>
      <x:c r="M161" s="21" t="str">
        <x:v>None beyond source-specific refresh and QA.</x:v>
      </x:c>
      <x:c r="N161" s="21" t="str">
        <x:v>Outside the seven source-scoped groups in Sections 3-9.</x:v>
      </x:c>
    </x:row>
    <x:row r="162" ht="82" customHeight="1">
      <x:c r="A162" s="20" t="n">
        <x:v>158</x:v>
      </x:c>
      <x:c r="B162" s="20" t="str">
        <x:v>General</x:v>
      </x:c>
      <x:c r="C162" s="20" t="str">
        <x:v>market_tightness_components</x:v>
      </x:c>
      <x:c r="D162" s="20" t="str">
        <x:v>Market Tightness Component Count</x:v>
      </x:c>
      <x:c r="E162" s="29" t="str">
        <x:v>Have</x:v>
      </x:c>
      <x:c r="F162" s="29" t="str">
        <x:v>Have</x:v>
      </x:c>
      <x:c r="G162" s="20" t="str">
        <x:v>redfin_county_monthly (Constructed)</x:v>
      </x:c>
      <x:c r="H162" s="20" t="str">
        <x:v>Constructed</x:v>
      </x:c>
      <x:c r="I162" s="33" t="str">
        <x:v>No</x:v>
      </x:c>
      <x:c r="J162" s="20" t="str">
        <x:v>None for this variable in the latest document. This variable/source use is not assigned in the latest Additional Variables document; it is retained from an earlier tracker/method or the repository's existing contract.</x:v>
      </x:c>
      <x:c r="K162" s="20" t="str">
        <x:v>Used for the existing earlier-scope repository variable 'Market Tightness Component Count': Number of nonmissing components entering the market tightness index. It is retained for prior requirements and is not evidence of latest-document source compliance.</x:v>
      </x:c>
      <x:c r="L162" s="20" t="str">
        <x:v>Current repository output has at least one non-null value. Coverage follows the upstream source/output table; missing-value rule: zero when no component is present.</x:v>
      </x:c>
      <x:c r="M162" s="20" t="str">
        <x:v>None beyond source-specific refresh and QA.</x:v>
      </x:c>
      <x:c r="N162" s="20" t="str">
        <x:v>Outside the seven source-scoped groups in Sections 3-9.</x:v>
      </x:c>
    </x:row>
    <x:row r="163" ht="82" customHeight="1">
      <x:c r="A163" s="21" t="n">
        <x:v>159</x:v>
      </x:c>
      <x:c r="B163" s="21" t="str">
        <x:v>General</x:v>
      </x:c>
      <x:c r="C163" s="21" t="str">
        <x:v>ces_total_nonfarm_employment_growth_mom</x:v>
      </x:c>
      <x:c r="D163" s="21" t="str">
        <x:v>LA Metro Payroll Employment MoM Growth</x:v>
      </x:c>
      <x:c r="E163" s="29" t="str">
        <x:v>Have</x:v>
      </x:c>
      <x:c r="F163" s="29" t="str">
        <x:v>Have</x:v>
      </x:c>
      <x:c r="G163" s="21" t="str">
        <x:v>bls_ces_la_metro (Constructed)</x:v>
      </x:c>
      <x:c r="H163" s="21" t="str">
        <x:v>Constructed</x:v>
      </x:c>
      <x:c r="I163" s="33" t="str">
        <x:v>No</x:v>
      </x:c>
      <x:c r="J163" s="21" t="str">
        <x:v>None for this variable in the latest document. This variable/source use is not assigned in the latest Additional Variables document; it is retained from an earlier tracker/method or the repository's existing contract.</x:v>
      </x:c>
      <x:c r="K163" s="21" t="str">
        <x:v>Used for the existing earlier-scope repository variable 'LA Metro Payroll Employment MoM Growth': Fractional change in SA total nonfarm payroll employment from the prior month. It is retained for prior requirements and is not evidence of latest-document source compliance.</x:v>
      </x:c>
      <x:c r="L163" s="21" t="str">
        <x:v>Current repository output has at least one non-null value. Coverage follows the upstream source/output table; missing-value rule: require current and prior value.</x:v>
      </x:c>
      <x:c r="M163" s="21" t="str">
        <x:v>None beyond source-specific refresh and QA.</x:v>
      </x:c>
      <x:c r="N163" s="21" t="str">
        <x:v>Outside the seven source-scoped groups in Sections 3-9.</x:v>
      </x:c>
    </x:row>
    <x:row r="164" ht="82" customHeight="1">
      <x:c r="A164" s="20" t="n">
        <x:v>160</x:v>
      </x:c>
      <x:c r="B164" s="20" t="str">
        <x:v>General</x:v>
      </x:c>
      <x:c r="C164" s="20" t="str">
        <x:v>ces_total_nonfarm_employment_growth_yoy</x:v>
      </x:c>
      <x:c r="D164" s="20" t="str">
        <x:v>LA Metro Payroll Employment YoY Growth</x:v>
      </x:c>
      <x:c r="E164" s="29" t="str">
        <x:v>Have</x:v>
      </x:c>
      <x:c r="F164" s="29" t="str">
        <x:v>Have</x:v>
      </x:c>
      <x:c r="G164" s="20" t="str">
        <x:v>bls_ces_la_metro (Constructed)</x:v>
      </x:c>
      <x:c r="H164" s="20" t="str">
        <x:v>Constructed</x:v>
      </x:c>
      <x:c r="I164" s="33" t="str">
        <x:v>No</x:v>
      </x:c>
      <x:c r="J164" s="20" t="str">
        <x:v>None for this variable in the latest document. This variable/source use is not assigned in the latest Additional Variables document; it is retained from an earlier tracker/method or the repository's existing contract.</x:v>
      </x:c>
      <x:c r="K164" s="20" t="str">
        <x:v>Used for the existing earlier-scope repository variable 'LA Metro Payroll Employment YoY Growth': Fractional change in SA total nonfarm payroll employment from twelve months earlier. It is retained for prior requirements and is not evidence of latest-document source compliance.</x:v>
      </x:c>
      <x:c r="L164" s="20" t="str">
        <x:v>Current repository output has at least one non-null value. Coverage follows the upstream source/output table; missing-value rule: require current and lagged value.</x:v>
      </x:c>
      <x:c r="M164" s="20" t="str">
        <x:v>None beyond source-specific refresh and QA.</x:v>
      </x:c>
      <x:c r="N164" s="20" t="str">
        <x:v>Outside the seven source-scoped groups in Sections 3-9.</x:v>
      </x:c>
    </x:row>
    <x:row r="165" ht="82" customHeight="1">
      <x:c r="A165" s="21" t="n">
        <x:v>161</x:v>
      </x:c>
      <x:c r="B165" s="21" t="str">
        <x:v>General</x:v>
      </x:c>
      <x:c r="C165" s="21" t="str">
        <x:v>cpi_inflation_yoy</x:v>
      </x:c>
      <x:c r="D165" s="21" t="str">
        <x:v>LA Area CPI Inflation YoY</x:v>
      </x:c>
      <x:c r="E165" s="29" t="str">
        <x:v>Have</x:v>
      </x:c>
      <x:c r="F165" s="29" t="str">
        <x:v>Have</x:v>
      </x:c>
      <x:c r="G165" s="21" t="str">
        <x:v>bls_cpi_la_metro (Constructed)</x:v>
      </x:c>
      <x:c r="H165" s="21" t="str">
        <x:v>Constructed</x:v>
      </x:c>
      <x:c r="I165" s="25" t="str">
        <x:v>Partial/context</x:v>
      </x:c>
      <x:c r="J165" s="21" t="str">
        <x:v>CPI-U concept only; exact series/reference year unspecified. CPI-U is named as an optional deflator, but the document specifies no provider series, geography, or reference year. The current LA CPI macro series is earlier-scope.</x:v>
      </x:c>
      <x:c r="K165" s="21" t="str">
        <x:v>Fractional change in LA-area CPI-U All Items NSA from twelve months earlier. The current source is usable for this labeled contextual/earlier field only; the latest document does not fully authorize this exact variable-use.</x:v>
      </x:c>
      <x:c r="L165" s="21" t="str">
        <x:v>Current repository output has at least one non-null value. Coverage follows the upstream source/output table; missing-value rule: preserve publication gaps.</x:v>
      </x:c>
      <x:c r="M165" s="21" t="str">
        <x:v>None beyond source-specific refresh and QA.</x:v>
      </x:c>
      <x:c r="N165" s="21" t="str">
        <x:v>Sections 3 and 8 deflation instructions.</x:v>
      </x:c>
    </x:row>
    <x:row r="166" ht="82" customHeight="1">
      <x:c r="A166" s="20" t="n">
        <x:v>162</x:v>
      </x:c>
      <x:c r="B166" s="20" t="str">
        <x:v>General</x:v>
      </x:c>
      <x:c r="C166" s="20" t="str">
        <x:v>bea_ca_personal_income_growth_qoq</x:v>
      </x:c>
      <x:c r="D166" s="20" t="str">
        <x:v>California Personal Income QoQ Growth</x:v>
      </x:c>
      <x:c r="E166" s="29" t="str">
        <x:v>Have</x:v>
      </x:c>
      <x:c r="F166" s="29" t="str">
        <x:v>Have</x:v>
      </x:c>
      <x:c r="G166" s="20" t="str">
        <x:v>bea_state_personal_income (Constructed)</x:v>
      </x:c>
      <x:c r="H166" s="20" t="str">
        <x:v>Constructed</x:v>
      </x:c>
      <x:c r="I166" s="33" t="str">
        <x:v>No</x:v>
      </x:c>
      <x:c r="J166" s="20" t="str">
        <x:v>None for this variable in the latest document. This variable/source use is not assigned in the latest Additional Variables document; it is retained from an earlier tracker/method or the repository's existing contract.</x:v>
      </x:c>
      <x:c r="K166" s="20" t="str">
        <x:v>Used for the existing earlier-scope repository variable 'California Personal Income QoQ Growth': Fractional change in quarterly SAAR personal income from the prior quarter. It is retained for prior requirements and is not evidence of latest-document source compliance.</x:v>
      </x:c>
      <x:c r="L166" s="20" t="str">
        <x:v>Current repository output has at least one non-null value. Coverage follows the upstream source/output table; missing-value rule: require current and prior value.</x:v>
      </x:c>
      <x:c r="M166" s="20" t="str">
        <x:v>None beyond source-specific refresh and QA.</x:v>
      </x:c>
      <x:c r="N166" s="20" t="str">
        <x:v>Outside the seven source-scoped groups in Sections 3-9.</x:v>
      </x:c>
    </x:row>
    <x:row r="167" ht="82" customHeight="1">
      <x:c r="A167" s="21" t="n">
        <x:v>163</x:v>
      </x:c>
      <x:c r="B167" s="21" t="str">
        <x:v>General</x:v>
      </x:c>
      <x:c r="C167" s="21" t="str">
        <x:v>bea_ca_personal_income_growth_yoy</x:v>
      </x:c>
      <x:c r="D167" s="21" t="str">
        <x:v>California Personal Income YoY Growth</x:v>
      </x:c>
      <x:c r="E167" s="29" t="str">
        <x:v>Have</x:v>
      </x:c>
      <x:c r="F167" s="29" t="str">
        <x:v>Have</x:v>
      </x:c>
      <x:c r="G167" s="21" t="str">
        <x:v>bea_state_personal_income (Constructed)</x:v>
      </x:c>
      <x:c r="H167" s="21" t="str">
        <x:v>Constructed</x:v>
      </x:c>
      <x:c r="I167" s="33" t="str">
        <x:v>No</x:v>
      </x:c>
      <x:c r="J167" s="21" t="str">
        <x:v>None for this variable in the latest document. This variable/source use is not assigned in the latest Additional Variables document; it is retained from an earlier tracker/method or the repository's existing contract.</x:v>
      </x:c>
      <x:c r="K167" s="21" t="str">
        <x:v>Used for the existing earlier-scope repository variable 'California Personal Income YoY Growth': Fractional change in quarterly SAAR personal income from four quarters earlier. It is retained for prior requirements and is not evidence of latest-document source compliance.</x:v>
      </x:c>
      <x:c r="L167" s="21" t="str">
        <x:v>Current repository output has at least one non-null value. Coverage follows the upstream source/output table; missing-value rule: require current and lagged value.</x:v>
      </x:c>
      <x:c r="M167" s="21" t="str">
        <x:v>None beyond source-specific refresh and QA.</x:v>
      </x:c>
      <x:c r="N167" s="21" t="str">
        <x:v>Outside the seven source-scoped groups in Sections 3-9.</x:v>
      </x:c>
    </x:row>
    <x:row r="168" ht="82" customHeight="1">
      <x:c r="A168" s="20" t="n">
        <x:v>164</x:v>
      </x:c>
      <x:c r="B168" s="20" t="str">
        <x:v>General</x:v>
      </x:c>
      <x:c r="C168" s="20" t="str">
        <x:v>bea_personal_income_growth_yoy</x:v>
      </x:c>
      <x:c r="D168" s="20" t="str">
        <x:v>LA County Personal Income Annual Growth</x:v>
      </x:c>
      <x:c r="E168" s="29" t="str">
        <x:v>Have</x:v>
      </x:c>
      <x:c r="F168" s="29" t="str">
        <x:v>Have</x:v>
      </x:c>
      <x:c r="G168" s="20" t="str">
        <x:v>bea_county_personal_income (Constructed)</x:v>
      </x:c>
      <x:c r="H168" s="20" t="str">
        <x:v>Constructed</x:v>
      </x:c>
      <x:c r="I168" s="33" t="str">
        <x:v>No</x:v>
      </x:c>
      <x:c r="J168" s="20" t="str">
        <x:v>None for this variable in the latest document. This variable/source use is not assigned in the latest Additional Variables document; it is retained from an earlier tracker/method or the repository's existing contract.</x:v>
      </x:c>
      <x:c r="K168" s="20" t="str">
        <x:v>Used for the existing earlier-scope repository variable 'LA County Personal Income Annual Growth': Fractional change in annual county personal income from the prior year. It is retained for prior requirements and is not evidence of latest-document source compliance.</x:v>
      </x:c>
      <x:c r="L168" s="20" t="str">
        <x:v>Current repository output has at least one non-null value. Coverage follows the upstream source/output table; missing-value rule: require adjacent annual values.</x:v>
      </x:c>
      <x:c r="M168" s="20" t="str">
        <x:v>None beyond source-specific refresh and QA.</x:v>
      </x:c>
      <x:c r="N168" s="20" t="str">
        <x:v>Outside the seven source-scoped groups in Sections 3-9.</x:v>
      </x:c>
    </x:row>
    <x:row r="169" ht="82" customHeight="1">
      <x:c r="A169" s="21" t="n">
        <x:v>165</x:v>
      </x:c>
      <x:c r="B169" s="21" t="str">
        <x:v>General</x:v>
      </x:c>
      <x:c r="C169" s="21" t="str">
        <x:v>hvs_rental_vacancy_change_yoy_pp</x:v>
      </x:c>
      <x:c r="D169" s="21" t="str">
        <x:v>HVS Rental Vacancy YoY Change</x:v>
      </x:c>
      <x:c r="E169" s="29" t="str">
        <x:v>Have</x:v>
      </x:c>
      <x:c r="F169" s="29" t="str">
        <x:v>Have</x:v>
      </x:c>
      <x:c r="G169" s="21" t="str">
        <x:v>census_hvs_metro_rental_vacancy_2005_2014 | census_hvs_metro_rental_vacancy_2015_2025 | census_hvs_metro_rental_vacancy_2026 | census_hvs_state_rental_vacancy (Constructed)</x:v>
      </x:c>
      <x:c r="H169" s="21" t="str">
        <x:v>Constructed</x:v>
      </x:c>
      <x:c r="I169" s="25" t="str">
        <x:v>Partial/context</x:v>
      </x:c>
      <x:c r="J169" s="21" t="str">
        <x:v>Census Housing Vacancy Survey. Census HVS is listed only as timely national/state vacancy context, not as detailed county/ZIP rental inventory.</x:v>
      </x:c>
      <x:c r="K169" s="21" t="str">
        <x:v>Percentage-point change in the published rental vacancy rate from four quarters earlier. The current source is usable for this labeled contextual/earlier field only; the latest document does not fully authorize this exact variable-use.</x:v>
      </x:c>
      <x:c r="L169" s="21" t="str">
        <x:v>Current repository output has at least one non-null value. Coverage follows the upstream source/output table; missing-value rule: preserve publication gaps.</x:v>
      </x:c>
      <x:c r="M169" s="21" t="str">
        <x:v>None beyond source-specific refresh and QA.</x:v>
      </x:c>
      <x:c r="N169" s="21" t="str">
        <x:v>Section 7 source note.</x:v>
      </x:c>
    </x:row>
    <x:row r="170" ht="82" customHeight="1">
      <x:c r="A170" s="20" t="n">
        <x:v>166</x:v>
      </x:c>
      <x:c r="B170" s="20" t="str">
        <x:v>General</x:v>
      </x:c>
      <x:c r="C170" s="20" t="str">
        <x:v>fhfa_hpi_growth_yoy</x:v>
      </x:c>
      <x:c r="D170" s="20" t="str">
        <x:v>FHFA HPI Year-over-Year Growth</x:v>
      </x:c>
      <x:c r="E170" s="29" t="str">
        <x:v>Have</x:v>
      </x:c>
      <x:c r="F170" s="29" t="str">
        <x:v>Have</x:v>
      </x:c>
      <x:c r="G170" s="20" t="str">
        <x:v>fhfa_hpi_county_annual | fhfa_hpi_metro_purchase_only | zillow_county_zhvi (Constructed)</x:v>
      </x:c>
      <x:c r="H170" s="20" t="str">
        <x:v>Constructed</x:v>
      </x:c>
      <x:c r="I170" s="25" t="str">
        <x:v>Partial/context</x:v>
      </x:c>
      <x:c r="J170" s="20" t="str">
        <x:v>FHFA HPI, conditional future alternate only. FHFA HPI is listed only for a future separately rebased FHFA/ZORI alternate. The current standalone HPI variable is earlier-scope.</x:v>
      </x:c>
      <x:c r="K170" s="20" t="str">
        <x:v>Fractional change in the relevant FHFA HPI from the prior year or four quarters earlier. The current source is usable for this labeled contextual/earlier field only; the latest document does not fully authorize this exact variable-use.</x:v>
      </x:c>
      <x:c r="L170" s="20" t="str">
        <x:v>CA and LA metro quarterly 1991 Q1-2026 Q1; LA County annual 1975-2025</x:v>
      </x:c>
      <x:c r="M170" s="20" t="str">
        <x:v>None beyond source-specific refresh and QA.</x:v>
      </x:c>
      <x:c r="N170" s="20" t="str">
        <x:v>Section 6 source-version policy.</x:v>
      </x:c>
    </x:row>
    <x:row r="171" ht="82" customHeight="1">
      <x:c r="A171" s="21" t="n">
        <x:v>167</x:v>
      </x:c>
      <x:c r="B171" s="21" t="str">
        <x:v>General</x:v>
      </x:c>
      <x:c r="C171" s="21" t="str">
        <x:v>zhvi_growth_yoy_year_end</x:v>
      </x:c>
      <x:c r="D171" s="21" t="str">
        <x:v>ZHVI December-to-December Growth</x:v>
      </x:c>
      <x:c r="E171" s="29" t="str">
        <x:v>Have</x:v>
      </x:c>
      <x:c r="F171" s="29" t="str">
        <x:v>Have</x:v>
      </x:c>
      <x:c r="G171" s="21" t="str">
        <x:v>zillow_county_zhvi | zillow_zip_zhvi (Constructed)</x:v>
      </x:c>
      <x:c r="H171" s="21" t="str">
        <x:v>Constructed</x:v>
      </x:c>
      <x:c r="I171" s="33" t="str">
        <x:v>No</x:v>
      </x:c>
      <x:c r="J171" s="21" t="str">
        <x:v>None for this variable in the latest document. This variable/source use is not assigned in the latest Additional Variables document; it is retained from an earlier tracker/method or the repository's existing contract.</x:v>
      </x:c>
      <x:c r="K171" s="21" t="str">
        <x:v>Used for the existing earlier-scope repository variable 'ZHVI December-to-December Growth': Fractional change in December county ZHVI from the prior December. It is retained for prior requirements and is not evidence of latest-document source compliance.</x:v>
      </x:c>
      <x:c r="L171" s="21" t="str">
        <x:v>Current repository output has at least one non-null value. Coverage follows the upstream source/output table; missing-value rule: require both Decembers.</x:v>
      </x:c>
      <x:c r="M171" s="21" t="str">
        <x:v>None beyond source-specific refresh and QA.</x:v>
      </x:c>
      <x:c r="N171" s="21" t="str">
        <x:v>Outside the seven source-scoped groups in Sections 3-9.</x:v>
      </x:c>
    </x:row>
    <x:row r="172" ht="82" customHeight="1">
      <x:c r="A172" s="20" t="n">
        <x:v>168</x:v>
      </x:c>
      <x:c r="B172" s="20" t="str">
        <x:v>General</x:v>
      </x:c>
      <x:c r="C172" s="20" t="str">
        <x:v>fhfa_vs_zhvi_growth_gap_yoy</x:v>
      </x:c>
      <x:c r="D172" s="20" t="str">
        <x:v>FHFA-versus-Zillow Annual Growth Gap</x:v>
      </x:c>
      <x:c r="E172" s="29" t="str">
        <x:v>Have</x:v>
      </x:c>
      <x:c r="F172" s="29" t="str">
        <x:v>Have</x:v>
      </x:c>
      <x:c r="G172" s="20" t="str">
        <x:v>fhfa_hpi_county_annual | fhfa_hpi_metro_purchase_only | zillow_county_zhvi (Constructed)</x:v>
      </x:c>
      <x:c r="H172" s="20" t="str">
        <x:v>Constructed</x:v>
      </x:c>
      <x:c r="I172" s="33" t="str">
        <x:v>No</x:v>
      </x:c>
      <x:c r="J172" s="20" t="str">
        <x:v>None for this variable in the latest document. This variable/source use is not assigned in the latest Additional Variables document; it is retained from an earlier tracker/method or the repository's existing contract.</x:v>
      </x:c>
      <x:c r="K172" s="20" t="str">
        <x:v>Used for the existing earlier-scope repository variable 'FHFA-versus-Zillow Annual Growth Gap': FHFA county annual HPI growth minus December-to-December county ZHVI growth. It is retained for prior requirements and is not evidence of latest-document source compliance.</x:v>
      </x:c>
      <x:c r="L172" s="20" t="str">
        <x:v>Current repository output has at least one non-null value. Coverage follows the upstream source/output table; missing-value rule: require both growth rates.</x:v>
      </x:c>
      <x:c r="M172" s="20" t="str">
        <x:v>None beyond source-specific refresh and QA.</x:v>
      </x:c>
      <x:c r="N172" s="20" t="str">
        <x:v>Outside the seven source-scoped groups in Sections 3-9.</x:v>
      </x:c>
    </x:row>
    <x:row r="173" ht="82" customHeight="1">
      <x:c r="A173" s="21" t="n">
        <x:v>169</x:v>
      </x:c>
      <x:c r="B173" s="21" t="str">
        <x:v>General</x:v>
      </x:c>
      <x:c r="C173" s="21" t="str">
        <x:v>usps_total_residential_addresses</x:v>
      </x:c>
      <x:c r="D173" s="21" t="str">
        <x:v>USPS total residential addresses</x:v>
      </x:c>
      <x:c r="E173" s="29" t="str">
        <x:v>Have</x:v>
      </x:c>
      <x:c r="F173" s="29" t="str">
        <x:v>Have</x:v>
      </x:c>
      <x:c r="G173" s="21" t="str">
        <x:v>hud_usps_ncwm_quarterly (HUD-USPS)</x:v>
      </x:c>
      <x:c r="H173" s="21" t="str">
        <x:v>HUD-USPS</x:v>
      </x:c>
      <x:c r="I173" s="29" t="str">
        <x:v>Yes</x:v>
      </x:c>
      <x:c r="J173" s="21" t="str">
        <x:v>HUD-USPS Vacancy Data. Explicit optional HUD-USPS all-residential address-vacancy proxy or diagnostic; never rental listings.</x:v>
      </x:c>
      <x:c r="K173" s="21" t="str">
        <x:v>Total residential delivery addresses in the HUD-USPS quarterly administrative data.. Used within the latest document's stated variable-specific role and limitations.</x:v>
      </x:c>
      <x:c r="L173"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173" s="21" t="str">
        <x:v>None beyond source-specific refresh and QA.</x:v>
      </x:c>
      <x:c r="N173" s="21" t="str">
        <x:v>Section 7 Tier B, construction items 4-5, and Section 11 naming table.</x:v>
      </x:c>
    </x:row>
    <x:row r="174" ht="82" customHeight="1">
      <x:c r="A174" s="20" t="n">
        <x:v>170</x:v>
      </x:c>
      <x:c r="B174" s="20" t="str">
        <x:v>General</x:v>
      </x:c>
      <x:c r="C174" s="20" t="str">
        <x:v>usps_short_term_vacant_residential_addresses</x:v>
      </x:c>
      <x:c r="D174" s="20" t="str">
        <x:v>USPS short-term vacant residential addresses</x:v>
      </x:c>
      <x:c r="E174" s="29" t="str">
        <x:v>Have</x:v>
      </x:c>
      <x:c r="F174" s="29" t="str">
        <x:v>Have</x:v>
      </x:c>
      <x:c r="G174" s="20" t="str">
        <x:v>hud_usps_ncwm_quarterly (HUD-USPS)</x:v>
      </x:c>
      <x:c r="H174" s="20" t="str">
        <x:v>HUD-USPS</x:v>
      </x:c>
      <x:c r="I174" s="29" t="str">
        <x:v>Yes</x:v>
      </x:c>
      <x:c r="J174" s="20" t="str">
        <x:v>HUD-USPS Vacancy Data. Explicit optional HUD-USPS all-residential address-vacancy proxy or diagnostic; never rental listings.</x:v>
      </x:c>
      <x:c r="K174" s="20" t="str">
        <x:v>Residential addresses in the source short-term vacancy category.. Used within the latest document's stated variable-specific role and limitations.</x:v>
      </x:c>
      <x:c r="L174"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174" s="20" t="str">
        <x:v>None beyond source-specific refresh and QA.</x:v>
      </x:c>
      <x:c r="N174" s="20" t="str">
        <x:v>Section 7 Tier B, construction items 4-5, and Section 11 naming table.</x:v>
      </x:c>
    </x:row>
    <x:row r="175" ht="82" customHeight="1">
      <x:c r="A175" s="21" t="n">
        <x:v>171</x:v>
      </x:c>
      <x:c r="B175" s="21" t="str">
        <x:v>General</x:v>
      </x:c>
      <x:c r="C175" s="21" t="str">
        <x:v>usps_long_term_vacant_residential_addresses</x:v>
      </x:c>
      <x:c r="D175" s="21" t="str">
        <x:v>USPS long-term vacant residential addresses</x:v>
      </x:c>
      <x:c r="E175" s="29" t="str">
        <x:v>Have</x:v>
      </x:c>
      <x:c r="F175" s="29" t="str">
        <x:v>Have</x:v>
      </x:c>
      <x:c r="G175" s="21" t="str">
        <x:v>hud_usps_ncwm_quarterly (HUD-USPS)</x:v>
      </x:c>
      <x:c r="H175" s="21" t="str">
        <x:v>HUD-USPS</x:v>
      </x:c>
      <x:c r="I175" s="29" t="str">
        <x:v>Yes</x:v>
      </x:c>
      <x:c r="J175" s="21" t="str">
        <x:v>HUD-USPS Vacancy Data. Explicit optional HUD-USPS all-residential address-vacancy proxy or diagnostic; never rental listings.</x:v>
      </x:c>
      <x:c r="K175" s="21" t="str">
        <x:v>Residential addresses in the source long-term vacancy category.. Used within the latest document's stated variable-specific role and limitations.</x:v>
      </x:c>
      <x:c r="L175"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175" s="21" t="str">
        <x:v>None beyond source-specific refresh and QA.</x:v>
      </x:c>
      <x:c r="N175" s="21" t="str">
        <x:v>Section 7 Tier B, construction items 4-5, and Section 11 naming table.</x:v>
      </x:c>
    </x:row>
    <x:row r="176" ht="82" customHeight="1">
      <x:c r="A176" s="20" t="n">
        <x:v>172</x:v>
      </x:c>
      <x:c r="B176" s="20" t="str">
        <x:v>General</x:v>
      </x:c>
      <x:c r="C176" s="20" t="str">
        <x:v>usps_vacant_residential_addresses</x:v>
      </x:c>
      <x:c r="D176" s="20" t="str">
        <x:v>USPS vacant residential addresses proxy numerator</x:v>
      </x:c>
      <x:c r="E176" s="29" t="str">
        <x:v>Have</x:v>
      </x:c>
      <x:c r="F176" s="29" t="str">
        <x:v>Have</x:v>
      </x:c>
      <x:c r="G176" s="20" t="str">
        <x:v>hud_usps_ncwm_quarterly (Constructed from HUD-USPS)</x:v>
      </x:c>
      <x:c r="H176" s="20" t="str">
        <x:v>Constructed from HUD-USPS</x:v>
      </x:c>
      <x:c r="I176" s="29" t="str">
        <x:v>Yes</x:v>
      </x:c>
      <x:c r="J176" s="20" t="str">
        <x:v>HUD-USPS Vacancy Data. Explicit optional HUD-USPS all-residential address-vacancy proxy or diagnostic; never rental listings.</x:v>
      </x:c>
      <x:c r="K176" s="20" t="str">
        <x:v>Short-term plus long-term vacant residential addresses.. Used within the latest document's stated variable-specific role and limitations.</x:v>
      </x:c>
      <x:c r="L176"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176" s="20" t="str">
        <x:v>None beyond source-specific refresh and QA.</x:v>
      </x:c>
      <x:c r="N176" s="20" t="str">
        <x:v>Section 7 Tier B, construction items 4-5, and Section 11 naming table.</x:v>
      </x:c>
    </x:row>
    <x:row r="177" ht="82" customHeight="1">
      <x:c r="A177" s="21" t="n">
        <x:v>173</x:v>
      </x:c>
      <x:c r="B177" s="21" t="str">
        <x:v>General</x:v>
      </x:c>
      <x:c r="C177" s="21" t="str">
        <x:v>usps_no_stat_residential_addresses</x:v>
      </x:c>
      <x:c r="D177" s="21" t="str">
        <x:v>USPS no-stat residential addresses</x:v>
      </x:c>
      <x:c r="E177" s="29" t="str">
        <x:v>Have</x:v>
      </x:c>
      <x:c r="F177" s="29" t="str">
        <x:v>Have</x:v>
      </x:c>
      <x:c r="G177" s="21" t="str">
        <x:v>hud_usps_ncwm_quarterly (HUD-USPS)</x:v>
      </x:c>
      <x:c r="H177" s="21" t="str">
        <x:v>HUD-USPS</x:v>
      </x:c>
      <x:c r="I177" s="29" t="str">
        <x:v>Yes</x:v>
      </x:c>
      <x:c r="J177" s="21" t="str">
        <x:v>HUD-USPS Vacancy Data. Explicit optional HUD-USPS all-residential address-vacancy proxy or diagnostic; never rental listings.</x:v>
      </x:c>
      <x:c r="K177" s="21" t="str">
        <x:v>Residential addresses in the USPS no-stat administrative category.. Used within the latest document's stated variable-specific role and limitations.</x:v>
      </x:c>
      <x:c r="L177"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177" s="21" t="str">
        <x:v>None beyond source-specific refresh and QA.</x:v>
      </x:c>
      <x:c r="N177" s="21" t="str">
        <x:v>Section 7 Tier B, construction items 4-5, and Section 11 naming table.</x:v>
      </x:c>
    </x:row>
    <x:row r="178" ht="82" customHeight="1">
      <x:c r="A178" s="20" t="n">
        <x:v>174</x:v>
      </x:c>
      <x:c r="B178" s="20" t="str">
        <x:v>General</x:v>
      </x:c>
      <x:c r="C178" s="20" t="str">
        <x:v>usps_active_residential_addresses</x:v>
      </x:c>
      <x:c r="D178" s="20" t="str">
        <x:v>USPS active residential addresses</x:v>
      </x:c>
      <x:c r="E178" s="29" t="str">
        <x:v>Have</x:v>
      </x:c>
      <x:c r="F178" s="29" t="str">
        <x:v>Have</x:v>
      </x:c>
      <x:c r="G178" s="20" t="str">
        <x:v>hud_usps_ncwm_quarterly (HUD-USPS)</x:v>
      </x:c>
      <x:c r="H178" s="20" t="str">
        <x:v>HUD-USPS</x:v>
      </x:c>
      <x:c r="I178" s="29" t="str">
        <x:v>Yes</x:v>
      </x:c>
      <x:c r="J178" s="20" t="str">
        <x:v>HUD-USPS Vacancy Data. Explicit optional HUD-USPS all-residential address-vacancy proxy or diagnostic; never rental listings.</x:v>
      </x:c>
      <x:c r="K178" s="20" t="str">
        <x:v>Residential addresses in active mail-delivery status.. Used within the latest document's stated variable-specific role and limitations.</x:v>
      </x:c>
      <x:c r="L178"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178" s="20" t="str">
        <x:v>None beyond source-specific refresh and QA.</x:v>
      </x:c>
      <x:c r="N178" s="20" t="str">
        <x:v>Section 7 Tier B, construction items 4-5, and Section 11 naming table.</x:v>
      </x:c>
    </x:row>
    <x:row r="179" ht="82" customHeight="1">
      <x:c r="A179" s="21" t="n">
        <x:v>175</x:v>
      </x:c>
      <x:c r="B179" s="21" t="str">
        <x:v>General</x:v>
      </x:c>
      <x:c r="C179" s="21" t="str">
        <x:v>usps_residential_vacancy_rate</x:v>
      </x:c>
      <x:c r="D179" s="21" t="str">
        <x:v>USPS residential vacancy rate proxy</x:v>
      </x:c>
      <x:c r="E179" s="29" t="str">
        <x:v>Have</x:v>
      </x:c>
      <x:c r="F179" s="29" t="str">
        <x:v>Have</x:v>
      </x:c>
      <x:c r="G179" s="21" t="str">
        <x:v>hud_usps_ncwm_quarterly (Constructed from HUD-USPS)</x:v>
      </x:c>
      <x:c r="H179" s="21" t="str">
        <x:v>Constructed from HUD-USPS</x:v>
      </x:c>
      <x:c r="I179" s="29" t="str">
        <x:v>Yes</x:v>
      </x:c>
      <x:c r="J179" s="21" t="str">
        <x:v>HUD-USPS Vacancy Data. Explicit optional HUD-USPS all-residential address-vacancy proxy or diagnostic; never rental listings.</x:v>
      </x:c>
      <x:c r="K179" s="21" t="str">
        <x:v>Short-term plus long-term vacant residential addresses divided by total residential addresses.. Used within the latest document's stated variable-specific role and limitations.</x:v>
      </x:c>
      <x:c r="L179" s="21"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179" s="21" t="str">
        <x:v>None beyond source-specific refresh and QA.</x:v>
      </x:c>
      <x:c r="N179" s="21" t="str">
        <x:v>Section 7 Tier B, construction items 4-5, and Section 11 naming table.</x:v>
      </x:c>
    </x:row>
    <x:row r="180" ht="82" customHeight="1">
      <x:c r="A180" s="20" t="n">
        <x:v>176</x:v>
      </x:c>
      <x:c r="B180" s="20" t="str">
        <x:v>General</x:v>
      </x:c>
      <x:c r="C180" s="20" t="str">
        <x:v>usps_residential_no_stat_rate</x:v>
      </x:c>
      <x:c r="D180" s="20" t="str">
        <x:v>USPS residential no-stat rate</x:v>
      </x:c>
      <x:c r="E180" s="29" t="str">
        <x:v>Have</x:v>
      </x:c>
      <x:c r="F180" s="29" t="str">
        <x:v>Have</x:v>
      </x:c>
      <x:c r="G180" s="20" t="str">
        <x:v>hud_usps_ncwm_quarterly (Constructed from HUD-USPS)</x:v>
      </x:c>
      <x:c r="H180" s="20" t="str">
        <x:v>Constructed from HUD-USPS</x:v>
      </x:c>
      <x:c r="I180" s="29" t="str">
        <x:v>Yes</x:v>
      </x:c>
      <x:c r="J180" s="20" t="str">
        <x:v>HUD-USPS Vacancy Data. Explicit optional HUD-USPS all-residential address-vacancy proxy or diagnostic; never rental listings.</x:v>
      </x:c>
      <x:c r="K180" s="20" t="str">
        <x:v>No-stat residential addresses divided by total residential addresses.. Used within the latest document's stated variable-specific role and limitations.</x:v>
      </x:c>
      <x:c r="L180" s="20"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180" s="20" t="str">
        <x:v>None beyond source-specific refresh and QA.</x:v>
      </x:c>
      <x:c r="N180" s="20" t="str">
        <x:v>Section 7 Tier B, construction items 4-5, and Section 11 naming table.</x:v>
      </x:c>
    </x:row>
    <x:row r="181" ht="82" customHeight="1">
      <x:c r="A181" s="21" t="n">
        <x:v>177</x:v>
      </x:c>
      <x:c r="B181" s="21" t="str">
        <x:v>General</x:v>
      </x:c>
      <x:c r="C181" s="21" t="str">
        <x:v>ca_homeowners_written_premium</x:v>
      </x:c>
      <x:c r="D181" s="21" t="str">
        <x:v>California Homeowners Multi-Peril written premium</x:v>
      </x:c>
      <x:c r="E181" s="29" t="str">
        <x:v>Have</x:v>
      </x:c>
      <x:c r="F181" s="29" t="str">
        <x:v>Have</x:v>
      </x:c>
      <x:c r="G181" s="21" t="str">
        <x:v>ca_doi_residential_property_part_i (California Department of Insurance)</x:v>
      </x:c>
      <x:c r="H181" s="21" t="str">
        <x:v>California Department of Insurance</x:v>
      </x:c>
      <x:c r="I181" s="29" t="str">
        <x:v>Yes</x:v>
      </x:c>
      <x:c r="J181" s="21" t="str">
        <x:v>California DOI Residential Property Insurance Report. Explicit California annual premium/exposure input, derived average/YoY, or flagged monthly step control.</x:v>
      </x:c>
      <x:c r="K181" s="21" t="str">
        <x:v>Total nominal written premium for California Homeowners Multi-Peril policies across all published insurance-coverage ranges.. Used within the latest document's stated variable-specific role and limitations.</x:v>
      </x:c>
      <x:c r="L181" s="21" t="str">
        <x:v>state 2008-12-31 to 2023-12-31: 16/16 non-null across 1 geographies</x:v>
      </x:c>
      <x:c r="M181" s="21" t="str">
        <x:v>None beyond source-specific refresh and QA.</x:v>
      </x:c>
      <x:c r="N181" s="21" t="str">
        <x:v>Section 8 and Section 11 naming table.</x:v>
      </x:c>
    </x:row>
    <x:row r="182" ht="82" customHeight="1">
      <x:c r="A182" s="20" t="n">
        <x:v>178</x:v>
      </x:c>
      <x:c r="B182" s="20" t="str">
        <x:v>General</x:v>
      </x:c>
      <x:c r="C182" s="20" t="str">
        <x:v>hud_pit_overall_homeless_annual</x:v>
      </x:c>
      <x:c r="D182" s="20" t="str">
        <x:v>HUD PIT overall homelessness</x:v>
      </x:c>
      <x:c r="E182" s="29" t="str">
        <x:v>Have</x:v>
      </x:c>
      <x:c r="F182" s="25" t="str">
        <x:v>Partial</x:v>
      </x:c>
      <x:c r="G182" s="20" t="str">
        <x:v>hud_pit_coc_2007_2025 (U.S. Department of Housing and Urban Development)</x:v>
      </x:c>
      <x:c r="H182" s="20" t="str">
        <x:v>U.S. Department of Housing and Urban Development</x:v>
      </x:c>
      <x:c r="I182" s="33" t="str">
        <x:v>No</x:v>
      </x:c>
      <x:c r="J182" s="20" t="str">
        <x:v>None for this variable in the latest document. This variable/source use is not assigned in the latest Additional Variables document; it is retained from an earlier tracker/method or the repository's existing contract.</x:v>
      </x:c>
      <x:c r="K182" s="20" t="str">
        <x:v>Used for the existing earlier-scope repository variable 'HUD PIT overall homelessness': Point-in-Time overall homeless persons at native Continuum of Care geography; optional LA project composite is an explicit sum of four named CoCs.. It is retained for prior requirements and is not evidence of latest-document source compliance.</x:v>
      </x:c>
      <x:c r="L182" s="20" t="str">
        <x:v>continuum_of_care 2007-12-31 to 2025-12-31: 6611/7431 non-null across 413 geographies; 820 source/method null rows | explicit_coc_composite 2007-12-31 to 2025-12-31: 13/19 non-null across 1 geographies; 6 source/method null rows</x:v>
      </x:c>
      <x:c r="M182" s="20" t="str">
        <x:v>Frequency/geography limitation: No credential is needed. Use the annual CoC/composite controls as labeled and leave the high-frequency target unsatisfied unless the methodology names another source.</x:v>
      </x:c>
      <x:c r="N182" s="20" t="str">
        <x:v>Outside the seven source-scoped groups in Sections 3-9.</x:v>
      </x:c>
    </x:row>
    <x:row r="183" ht="82" customHeight="1">
      <x:c r="A183" s="21" t="n">
        <x:v>179</x:v>
      </x:c>
      <x:c r="B183" s="21" t="str">
        <x:v>General</x:v>
      </x:c>
      <x:c r="C183" s="21" t="str">
        <x:v>hud_pit_sheltered_homeless_annual</x:v>
      </x:c>
      <x:c r="D183" s="21" t="str">
        <x:v>HUD PIT sheltered homelessness</x:v>
      </x:c>
      <x:c r="E183" s="29" t="str">
        <x:v>Have</x:v>
      </x:c>
      <x:c r="F183" s="25" t="str">
        <x:v>Partial</x:v>
      </x:c>
      <x:c r="G183" s="21" t="str">
        <x:v>hud_pit_coc_2007_2025 (U.S. Department of Housing and Urban Development)</x:v>
      </x:c>
      <x:c r="H183" s="21" t="str">
        <x:v>U.S. Department of Housing and Urban Development</x:v>
      </x:c>
      <x:c r="I183" s="33" t="str">
        <x:v>No</x:v>
      </x:c>
      <x:c r="J183" s="21" t="str">
        <x:v>None for this variable in the latest document. This variable/source use is not assigned in the latest Additional Variables document; it is retained from an earlier tracker/method or the repository's existing contract.</x:v>
      </x:c>
      <x:c r="K183" s="21" t="str">
        <x:v>Used for the existing earlier-scope repository variable 'HUD PIT sheltered homelessness': Point-in-Time sheltered homeless persons at native Continuum of Care geography; optional LA project composite is an explicit sum of four named CoCs.. It is retained for prior requirements and is not evidence of latest-document source compliance.</x:v>
      </x:c>
      <x:c r="L183" s="21" t="str">
        <x:v>continuum_of_care 2007-12-31 to 2025-12-31: 7342/7431 non-null across 413 geographies; 89 source/method null rows | explicit_coc_composite 2007-12-31 to 2025-12-31: 18/19 non-null across 1 geographies; 1 source/method null rows</x:v>
      </x:c>
      <x:c r="M183" s="21" t="str">
        <x:v>Frequency/geography limitation: No credential is needed. Use the annual CoC/composite controls as labeled and leave the high-frequency target unsatisfied unless the methodology names another source.</x:v>
      </x:c>
      <x:c r="N183" s="21" t="str">
        <x:v>Outside the seven source-scoped groups in Sections 3-9.</x:v>
      </x:c>
    </x:row>
    <x:row r="184" ht="82" customHeight="1">
      <x:c r="A184" s="20" t="n">
        <x:v>180</x:v>
      </x:c>
      <x:c r="B184" s="20" t="str">
        <x:v>General</x:v>
      </x:c>
      <x:c r="C184" s="20" t="str">
        <x:v>hud_pit_unsheltered_homeless_annual</x:v>
      </x:c>
      <x:c r="D184" s="20" t="str">
        <x:v>HUD PIT unsheltered homelessness</x:v>
      </x:c>
      <x:c r="E184" s="29" t="str">
        <x:v>Have</x:v>
      </x:c>
      <x:c r="F184" s="25" t="str">
        <x:v>Partial</x:v>
      </x:c>
      <x:c r="G184" s="20" t="str">
        <x:v>hud_pit_coc_2007_2025 (U.S. Department of Housing and Urban Development)</x:v>
      </x:c>
      <x:c r="H184" s="20" t="str">
        <x:v>U.S. Department of Housing and Urban Development</x:v>
      </x:c>
      <x:c r="I184" s="33" t="str">
        <x:v>No</x:v>
      </x:c>
      <x:c r="J184" s="20" t="str">
        <x:v>None for this variable in the latest document. This variable/source use is not assigned in the latest Additional Variables document; it is retained from an earlier tracker/method or the repository's existing contract.</x:v>
      </x:c>
      <x:c r="K184" s="20" t="str">
        <x:v>Used for the existing earlier-scope repository variable 'HUD PIT unsheltered homelessness': Point-in-Time unsheltered homeless persons at native Continuum of Care geography; optional LA project composite is an explicit sum of four named CoCs.. It is retained for prior requirements and is not evidence of latest-document source compliance.</x:v>
      </x:c>
      <x:c r="L184" s="20" t="str">
        <x:v>continuum_of_care 2007-12-31 to 2025-12-31: 6611/7431 non-null across 413 geographies; 820 source/method null rows | explicit_coc_composite 2007-12-31 to 2025-12-31: 13/19 non-null across 1 geographies; 6 source/method null rows</x:v>
      </x:c>
      <x:c r="M184" s="20" t="str">
        <x:v>Frequency/geography limitation: No credential is needed. Use the annual CoC/composite controls as labeled and leave the high-frequency target unsatisfied unless the methodology names another source.</x:v>
      </x:c>
      <x:c r="N184" s="20" t="str">
        <x:v>Outside the seven source-scoped groups in Sections 3-9.</x:v>
      </x:c>
    </x:row>
    <x:row r="185" ht="82" customHeight="1">
      <x:c r="A185" s="21" t="n">
        <x:v>181</x:v>
      </x:c>
      <x:c r="B185" s="21" t="str">
        <x:v>General</x:v>
      </x:c>
      <x:c r="C185" s="21" t="str">
        <x:v>ca_homeowners_written_exposures</x:v>
      </x:c>
      <x:c r="D185" s="21" t="str">
        <x:v>California Homeowners Multi-Peril written exposures</x:v>
      </x:c>
      <x:c r="E185" s="29" t="str">
        <x:v>Have</x:v>
      </x:c>
      <x:c r="F185" s="29" t="str">
        <x:v>Have</x:v>
      </x:c>
      <x:c r="G185" s="21" t="str">
        <x:v>ca_doi_residential_property_part_i (California Department of Insurance)</x:v>
      </x:c>
      <x:c r="H185" s="21" t="str">
        <x:v>California Department of Insurance</x:v>
      </x:c>
      <x:c r="I185" s="29" t="str">
        <x:v>Yes</x:v>
      </x:c>
      <x:c r="J185" s="21" t="str">
        <x:v>California DOI Residential Property Insurance Report. Explicit California annual premium/exposure input, derived average/YoY, or flagged monthly step control.</x:v>
      </x:c>
      <x:c r="K185" s="21" t="str">
        <x:v>Total written exposures for California Homeowners Multi-Peril policies across all published insurance-coverage ranges.. Used within the latest document's stated variable-specific role and limitations.</x:v>
      </x:c>
      <x:c r="L185" s="21" t="str">
        <x:v>state 2008-12-31 to 2023-12-31: 16/16 non-null across 1 geographies</x:v>
      </x:c>
      <x:c r="M185" s="21" t="str">
        <x:v>None beyond source-specific refresh and QA.</x:v>
      </x:c>
      <x:c r="N185" s="21" t="str">
        <x:v>Section 8 and Section 11 naming table.</x:v>
      </x:c>
    </x:row>
    <x:row r="186" ht="82" customHeight="1">
      <x:c r="A186" s="20" t="n">
        <x:v>182</x:v>
      </x:c>
      <x:c r="B186" s="20" t="str">
        <x:v>General</x:v>
      </x:c>
      <x:c r="C186" s="20" t="str">
        <x:v>ca_homeowners_avg_written_premium</x:v>
      </x:c>
      <x:c r="D186" s="20" t="str">
        <x:v>California average written homeowners premium</x:v>
      </x:c>
      <x:c r="E186" s="29" t="str">
        <x:v>Have</x:v>
      </x:c>
      <x:c r="F186" s="29" t="str">
        <x:v>Have</x:v>
      </x:c>
      <x:c r="G186" s="20" t="str">
        <x:v>ca_doi_residential_property_part_i (California Department of Insurance)</x:v>
      </x:c>
      <x:c r="H186" s="20" t="str">
        <x:v>California Department of Insurance</x:v>
      </x:c>
      <x:c r="I186" s="29" t="str">
        <x:v>Yes</x:v>
      </x:c>
      <x:c r="J186" s="20" t="str">
        <x:v>California DOI Residential Property Insurance Report. Explicit California annual premium/exposure input, derived average/YoY, or flagged monthly step control.</x:v>
      </x:c>
      <x:c r="K186" s="20" t="str">
        <x:v>California Homeowners Multi-Peril written premium divided by written exposures after aggregating all published insurance-coverage ranges.. Used within the latest document's stated variable-specific role and limitations.</x:v>
      </x:c>
      <x:c r="L186" s="20" t="str">
        <x:v>state 2008-12-31 to 2023-12-31: 16/16 non-null across 1 geographies</x:v>
      </x:c>
      <x:c r="M186" s="20" t="str">
        <x:v>None beyond source-specific refresh and QA.</x:v>
      </x:c>
      <x:c r="N186" s="20" t="str">
        <x:v>Section 8 and Section 11 naming table.</x:v>
      </x:c>
    </x:row>
    <x:row r="187" ht="82" customHeight="1">
      <x:c r="A187" s="21" t="n">
        <x:v>183</x:v>
      </x:c>
      <x:c r="B187" s="21" t="str">
        <x:v>General</x:v>
      </x:c>
      <x:c r="C187" s="21" t="str">
        <x:v>ca_homeowners_avg_written_premium_yoy</x:v>
      </x:c>
      <x:c r="D187" s="21" t="str">
        <x:v>California average written homeowners premium year-over-year change</x:v>
      </x:c>
      <x:c r="E187" s="29" t="str">
        <x:v>Have</x:v>
      </x:c>
      <x:c r="F187" s="25" t="str">
        <x:v>Partial</x:v>
      </x:c>
      <x:c r="G187" s="21" t="str">
        <x:v>ca_doi_residential_property_part_i (Constructed from California Department of Insurance)</x:v>
      </x:c>
      <x:c r="H187" s="21" t="str">
        <x:v>Constructed from California Department of Insurance</x:v>
      </x:c>
      <x:c r="I187" s="29" t="str">
        <x:v>Yes</x:v>
      </x:c>
      <x:c r="J187" s="21" t="str">
        <x:v>California DOI Residential Property Insurance Report. Explicit California annual premium/exposure input, derived average/YoY, or flagged monthly step control.</x:v>
      </x:c>
      <x:c r="K187" s="21" t="str">
        <x:v>Exact annual percentage change in California Homeowners Multi-Peril average written premium per exposure.. Used within the latest document's stated variable-specific role and limitations.</x:v>
      </x:c>
      <x:c r="L187" s="21" t="str">
        <x:v>15 annual YoY values for 2009-2023; 192 flagged monthly-control values for 2008-01 through 2023-12; real-dollar field absent Gap: Annual YoY has 15 values for 2009-2023 and the flagged monthly control has 192 values for 2008-2023. Only the real-dollar field is missing because the governing method does not select the exact CPI-U series/reference year.</x:v>
      </x:c>
      <x:c r="M187" s="21" t="str">
        <x:v>Deflator method decision: Approve the exact already-listed CPI-U series and reference year for real dollars.</x:v>
      </x:c>
      <x:c r="N187" s="21" t="str">
        <x:v>Section 8 and Section 11 naming table.</x:v>
      </x:c>
    </x:row>
    <x:row r="188" ht="82" customHeight="1">
      <x:c r="A188" s="20" t="n">
        <x:v>184</x:v>
      </x:c>
      <x:c r="B188" s="20" t="str">
        <x:v>General</x:v>
      </x:c>
      <x:c r="C188" s="20" t="str">
        <x:v>ca_homeowners_avg_written_premium_monthly_control</x:v>
      </x:c>
      <x:c r="D188" s="20" t="str">
        <x:v>California average written homeowners premium monthly control</x:v>
      </x:c>
      <x:c r="E188" s="29" t="str">
        <x:v>Have</x:v>
      </x:c>
      <x:c r="F188" s="25" t="str">
        <x:v>Partial</x:v>
      </x:c>
      <x:c r="G188" s="20" t="str">
        <x:v>Constructed from California Department of Insurance</x:v>
      </x:c>
      <x:c r="H188" s="20" t="str">
        <x:v>Constructed from California Department of Insurance</x:v>
      </x:c>
      <x:c r="I188" s="29" t="str">
        <x:v>Yes</x:v>
      </x:c>
      <x:c r="J188" s="20" t="str">
        <x:v>California DOI Residential Property Insurance Report. Explicit California annual premium/exposure input, derived average/YoY, or flagged monthly step control.</x:v>
      </x:c>
      <x:c r="K188" s="20" t="str">
        <x:v>Calendar-year step-function control that repeats each California annual Homeowners Multi-Peril average written premium across the 12 months of its exposure year.. Used within the latest document's stated variable-specific role and limitations.</x:v>
      </x:c>
      <x:c r="L188" s="20" t="str">
        <x:v>state 2008-01-31 to 2023-12-31: 192/192 non-null across 1 geographies</x:v>
      </x:c>
      <x:c r="M188" s="20" t="str">
        <x:v>Deflator method decision: Approve the exact already-listed CPI-U series and reference year for real dollars.</x:v>
      </x:c>
      <x:c r="N188" s="20" t="str">
        <x:v>Section 8 and Section 11 naming table.</x:v>
      </x:c>
    </x:row>
    <x:row r="189" ht="82" customHeight="1">
      <x:c r="A189" s="21" t="n">
        <x:v>185</x:v>
      </x:c>
      <x:c r="B189" s="21" t="str">
        <x:v>Version A</x:v>
      </x:c>
      <x:c r="C189" s="21" t="str">
        <x:v>acs_total_population_benchmark</x:v>
      </x:c>
      <x:c r="D189" s="21" t="str">
        <x:v>ACS total population benchmark</x:v>
      </x:c>
      <x:c r="E189" s="29" t="str">
        <x:v>Have</x:v>
      </x:c>
      <x:c r="F189" s="29" t="str">
        <x:v>Have</x:v>
      </x:c>
      <x:c r="G189" s="21" t="str">
        <x:v>census_acs5_finance (U.S. Census Bureau)</x:v>
      </x:c>
      <x:c r="H189" s="21" t="str">
        <x:v>U.S. Census Bureau</x:v>
      </x:c>
      <x:c r="I189" s="33" t="str">
        <x:v>No</x:v>
      </x:c>
      <x:c r="J189" s="21" t="str">
        <x:v>None for this variable in the latest document. Version A ACS/PUMS/PMMS/FHFA/BLS finance construction is outside the latest Additional Variables document's assigned variables and sources.</x:v>
      </x:c>
      <x:c r="K189" s="21" t="str">
        <x:v>Used for the repository's Version A mortgage-finance benchmark: Published total resident population. This is earlier/repository scope, not authority from the latest Additional Variables document.</x:v>
      </x:c>
      <x:c r="L189" s="21" t="str">
        <x:v>2024 ACS five-year benchmark: 1/1 California county rows non-null.</x:v>
      </x:c>
      <x:c r="M189" s="21" t="str">
        <x:v>None beyond the source-specific refresh workflow.</x:v>
      </x:c>
      <x:c r="N189" s="21" t="str">
        <x:v>The latest document's source-scoped sections 3-9 do not define the Version A finance benchmark.</x:v>
      </x:c>
    </x:row>
    <x:row r="190" ht="82" customHeight="1">
      <x:c r="A190" s="20" t="n">
        <x:v>186</x:v>
      </x:c>
      <x:c r="B190" s="20" t="str">
        <x:v>Version A</x:v>
      </x:c>
      <x:c r="C190" s="20" t="str">
        <x:v>acs_aggregate_selected_monthly_owner_costs_mortgaged_benchmark</x:v>
      </x:c>
      <x:c r="D190" s="20" t="str">
        <x:v>ACS aggregate selected monthly owner costs - mortgaged owners benchmark</x:v>
      </x:c>
      <x:c r="E190" s="29" t="str">
        <x:v>Have</x:v>
      </x:c>
      <x:c r="F190" s="29" t="str">
        <x:v>Have</x:v>
      </x:c>
      <x:c r="G190" s="20" t="str">
        <x:v>census_acs5_finance (U.S. Census Bureau)</x:v>
      </x:c>
      <x:c r="H190" s="20" t="str">
        <x:v>U.S. Census Bureau</x:v>
      </x:c>
      <x:c r="I190" s="33" t="str">
        <x:v>No</x:v>
      </x:c>
      <x:c r="J190" s="20" t="str">
        <x:v>None for this variable in the latest document. Version A ACS/PUMS/PMMS/FHFA/BLS finance construction is outside the latest Additional Variables document's assigned variables and sources.</x:v>
      </x:c>
      <x:c r="K190" s="20" t="str">
        <x:v>Used for the repository's Version A mortgage-finance benchmark: Published aggregate selected monthly owner costs for owner-occupied housing units with a mortgage. This is earlier/repository scope, not authority from the latest Additional Variables document.</x:v>
      </x:c>
      <x:c r="L190" s="20" t="str">
        <x:v>2024 ACS five-year benchmark: 1/1 California county rows non-null.</x:v>
      </x:c>
      <x:c r="M190" s="20" t="str">
        <x:v>None beyond the source-specific refresh workflow.</x:v>
      </x:c>
      <x:c r="N190" s="20" t="str">
        <x:v>The latest document's source-scoped sections 3-9 do not define the Version A finance benchmark.</x:v>
      </x:c>
    </x:row>
    <x:row r="191" ht="82" customHeight="1">
      <x:c r="A191" s="21" t="n">
        <x:v>187</x:v>
      </x:c>
      <x:c r="B191" s="21" t="str">
        <x:v>Version A</x:v>
      </x:c>
      <x:c r="C191" s="21" t="str">
        <x:v>acs_owner_occupied_units_benchmark</x:v>
      </x:c>
      <x:c r="D191" s="21" t="str">
        <x:v>ACS owner-occupied units benchmark</x:v>
      </x:c>
      <x:c r="E191" s="29" t="str">
        <x:v>Have</x:v>
      </x:c>
      <x:c r="F191" s="29" t="str">
        <x:v>Have</x:v>
      </x:c>
      <x:c r="G191" s="21" t="str">
        <x:v>census_acs5_finance (U.S. Census Bureau)</x:v>
      </x:c>
      <x:c r="H191" s="21" t="str">
        <x:v>U.S. Census Bureau</x:v>
      </x:c>
      <x:c r="I191" s="33" t="str">
        <x:v>No</x:v>
      </x:c>
      <x:c r="J191" s="21" t="str">
        <x:v>None for this variable in the latest document. Version A ACS/PUMS/PMMS/FHFA/BLS finance construction is outside the latest Additional Variables document's assigned variables and sources.</x:v>
      </x:c>
      <x:c r="K191" s="21" t="str">
        <x:v>Used for the repository's Version A mortgage-finance benchmark: Published total owner-occupied housing units. This is earlier/repository scope, not authority from the latest Additional Variables document.</x:v>
      </x:c>
      <x:c r="L191" s="21" t="str">
        <x:v>2024 ACS five-year benchmark: 1/1 California county rows non-null.</x:v>
      </x:c>
      <x:c r="M191" s="21" t="str">
        <x:v>None beyond the source-specific refresh workflow.</x:v>
      </x:c>
      <x:c r="N191" s="21" t="str">
        <x:v>The latest document's source-scoped sections 3-9 do not define the Version A finance benchmark.</x:v>
      </x:c>
    </x:row>
    <x:row r="192" ht="82" customHeight="1">
      <x:c r="A192" s="20" t="n">
        <x:v>188</x:v>
      </x:c>
      <x:c r="B192" s="20" t="str">
        <x:v>Version A</x:v>
      </x:c>
      <x:c r="C192" s="20" t="str">
        <x:v>acs_mortgaged_owner_units_benchmark</x:v>
      </x:c>
      <x:c r="D192" s="20" t="str">
        <x:v>ACS mortgaged owner units benchmark</x:v>
      </x:c>
      <x:c r="E192" s="29" t="str">
        <x:v>Have</x:v>
      </x:c>
      <x:c r="F192" s="29" t="str">
        <x:v>Have</x:v>
      </x:c>
      <x:c r="G192" s="20" t="str">
        <x:v>census_acs5_finance (U.S. Census Bureau)</x:v>
      </x:c>
      <x:c r="H192" s="20" t="str">
        <x:v>U.S. Census Bureau</x:v>
      </x:c>
      <x:c r="I192" s="33" t="str">
        <x:v>No</x:v>
      </x:c>
      <x:c r="J192" s="20" t="str">
        <x:v>None for this variable in the latest document. Version A ACS/PUMS/PMMS/FHFA/BLS finance construction is outside the latest Additional Variables document's assigned variables and sources.</x:v>
      </x:c>
      <x:c r="K192" s="20" t="str">
        <x:v>Used for the repository's Version A mortgage-finance benchmark: Published owner-occupied housing units with a mortgage or similar debt. This is earlier/repository scope, not authority from the latest Additional Variables document.</x:v>
      </x:c>
      <x:c r="L192" s="20" t="str">
        <x:v>2024 ACS five-year benchmark: 1/1 California county rows non-null.</x:v>
      </x:c>
      <x:c r="M192" s="20" t="str">
        <x:v>None beyond the source-specific refresh workflow.</x:v>
      </x:c>
      <x:c r="N192" s="20" t="str">
        <x:v>The latest document's source-scoped sections 3-9 do not define the Version A finance benchmark.</x:v>
      </x:c>
    </x:row>
    <x:row r="193" ht="82" customHeight="1">
      <x:c r="A193" s="21" t="n">
        <x:v>189</x:v>
      </x:c>
      <x:c r="B193" s="21" t="str">
        <x:v>Version A</x:v>
      </x:c>
      <x:c r="C193" s="21" t="str">
        <x:v>acs_aggregate_owner_value_all_benchmark</x:v>
      </x:c>
      <x:c r="D193" s="21" t="str">
        <x:v>ACS aggregate owner value - all owners benchmark</x:v>
      </x:c>
      <x:c r="E193" s="29" t="str">
        <x:v>Have</x:v>
      </x:c>
      <x:c r="F193" s="29" t="str">
        <x:v>Have</x:v>
      </x:c>
      <x:c r="G193" s="21" t="str">
        <x:v>census_acs5_finance (U.S. Census Bureau)</x:v>
      </x:c>
      <x:c r="H193" s="21" t="str">
        <x:v>U.S. Census Bureau</x:v>
      </x:c>
      <x:c r="I193" s="33" t="str">
        <x:v>No</x:v>
      </x:c>
      <x:c r="J193" s="21" t="str">
        <x:v>None for this variable in the latest document. Version A ACS/PUMS/PMMS/FHFA/BLS finance construction is outside the latest Additional Variables document's assigned variables and sources.</x:v>
      </x:c>
      <x:c r="K193" s="21" t="str">
        <x:v>Used for the repository's Version A mortgage-finance benchmark: Published aggregate value of all owner-occupied housing units. This is earlier/repository scope, not authority from the latest Additional Variables document.</x:v>
      </x:c>
      <x:c r="L193" s="21" t="str">
        <x:v>2024 ACS five-year benchmark: 1/1 California county rows non-null.</x:v>
      </x:c>
      <x:c r="M193" s="21" t="str">
        <x:v>None beyond the source-specific refresh workflow.</x:v>
      </x:c>
      <x:c r="N193" s="21" t="str">
        <x:v>The latest document's source-scoped sections 3-9 do not define the Version A finance benchmark.</x:v>
      </x:c>
    </x:row>
    <x:row r="194" ht="82" customHeight="1">
      <x:c r="A194" s="20" t="n">
        <x:v>190</x:v>
      </x:c>
      <x:c r="B194" s="20" t="str">
        <x:v>Version A</x:v>
      </x:c>
      <x:c r="C194" s="20" t="str">
        <x:v>acs_aggregate_owner_value_mortgaged_benchmark</x:v>
      </x:c>
      <x:c r="D194" s="20" t="str">
        <x:v>ACS aggregate owner value - mortgaged owners benchmark</x:v>
      </x:c>
      <x:c r="E194" s="29" t="str">
        <x:v>Have</x:v>
      </x:c>
      <x:c r="F194" s="29" t="str">
        <x:v>Have</x:v>
      </x:c>
      <x:c r="G194" s="20" t="str">
        <x:v>census_acs5_finance (U.S. Census Bureau)</x:v>
      </x:c>
      <x:c r="H194" s="20" t="str">
        <x:v>U.S. Census Bureau</x:v>
      </x:c>
      <x:c r="I194" s="33" t="str">
        <x:v>No</x:v>
      </x:c>
      <x:c r="J194" s="20" t="str">
        <x:v>None for this variable in the latest document. Version A ACS/PUMS/PMMS/FHFA/BLS finance construction is outside the latest Additional Variables document's assigned variables and sources.</x:v>
      </x:c>
      <x:c r="K194" s="20" t="str">
        <x:v>Used for the repository's Version A mortgage-finance benchmark: Published aggregate value of owner-occupied housing units with a mortgage. This is earlier/repository scope, not authority from the latest Additional Variables document.</x:v>
      </x:c>
      <x:c r="L194" s="20" t="str">
        <x:v>2024 ACS five-year benchmark: 1/1 California county rows non-null.</x:v>
      </x:c>
      <x:c r="M194" s="20" t="str">
        <x:v>None beyond the source-specific refresh workflow.</x:v>
      </x:c>
      <x:c r="N194" s="20" t="str">
        <x:v>The latest document's source-scoped sections 3-9 do not define the Version A finance benchmark.</x:v>
      </x:c>
    </x:row>
    <x:row r="195" ht="82" customHeight="1">
      <x:c r="A195" s="21" t="n">
        <x:v>191</x:v>
      </x:c>
      <x:c r="B195" s="21" t="str">
        <x:v>Version A</x:v>
      </x:c>
      <x:c r="C195" s="21" t="str">
        <x:v>acs_aggregate_owner_value_no_mortgage_benchmark</x:v>
      </x:c>
      <x:c r="D195" s="21" t="str">
        <x:v>ACS aggregate owner value - mortgage-free owners benchmark</x:v>
      </x:c>
      <x:c r="E195" s="29" t="str">
        <x:v>Have</x:v>
      </x:c>
      <x:c r="F195" s="29" t="str">
        <x:v>Have</x:v>
      </x:c>
      <x:c r="G195" s="21" t="str">
        <x:v>census_acs5_finance (U.S. Census Bureau)</x:v>
      </x:c>
      <x:c r="H195" s="21" t="str">
        <x:v>U.S. Census Bureau</x:v>
      </x:c>
      <x:c r="I195" s="33" t="str">
        <x:v>No</x:v>
      </x:c>
      <x:c r="J195" s="21" t="str">
        <x:v>None for this variable in the latest document. Version A ACS/PUMS/PMMS/FHFA/BLS finance construction is outside the latest Additional Variables document's assigned variables and sources.</x:v>
      </x:c>
      <x:c r="K195" s="21" t="str">
        <x:v>Used for the repository's Version A mortgage-finance benchmark: Published aggregate value of owner-occupied housing units without a mortgage. This is earlier/repository scope, not authority from the latest Additional Variables document.</x:v>
      </x:c>
      <x:c r="L195" s="21" t="str">
        <x:v>2024 ACS five-year benchmark: 1/1 California county rows non-null.</x:v>
      </x:c>
      <x:c r="M195" s="21" t="str">
        <x:v>None beyond the source-specific refresh workflow.</x:v>
      </x:c>
      <x:c r="N195" s="21" t="str">
        <x:v>The latest document's source-scoped sections 3-9 do not define the Version A finance benchmark.</x:v>
      </x:c>
    </x:row>
    <x:row r="196" ht="82" customHeight="1">
      <x:c r="A196" s="20" t="n">
        <x:v>192</x:v>
      </x:c>
      <x:c r="B196" s="20" t="str">
        <x:v>Version A</x:v>
      </x:c>
      <x:c r="C196" s="20" t="str">
        <x:v>acs_aggregate_household_income_owner_benchmark</x:v>
      </x:c>
      <x:c r="D196" s="20" t="str">
        <x:v>ACS aggregate household income - all owners benchmark</x:v>
      </x:c>
      <x:c r="E196" s="29" t="str">
        <x:v>Have</x:v>
      </x:c>
      <x:c r="F196" s="29" t="str">
        <x:v>Have</x:v>
      </x:c>
      <x:c r="G196" s="20" t="str">
        <x:v>census_acs5_finance (U.S. Census Bureau)</x:v>
      </x:c>
      <x:c r="H196" s="20" t="str">
        <x:v>U.S. Census Bureau</x:v>
      </x:c>
      <x:c r="I196" s="33" t="str">
        <x:v>No</x:v>
      </x:c>
      <x:c r="J196" s="20" t="str">
        <x:v>None for this variable in the latest document. Version A ACS/PUMS/PMMS/FHFA/BLS finance construction is outside the latest Additional Variables document's assigned variables and sources.</x:v>
      </x:c>
      <x:c r="K196" s="20" t="str">
        <x:v>Used for the repository's Version A mortgage-finance benchmark: Published aggregate household income for owner-occupied housing units. This is earlier/repository scope, not authority from the latest Additional Variables document.</x:v>
      </x:c>
      <x:c r="L196" s="20" t="str">
        <x:v>2024 ACS five-year benchmark: 1/1 California county rows non-null.</x:v>
      </x:c>
      <x:c r="M196" s="20" t="str">
        <x:v>None beyond the source-specific refresh workflow.</x:v>
      </x:c>
      <x:c r="N196" s="20" t="str">
        <x:v>The latest document's source-scoped sections 3-9 do not define the Version A finance benchmark.</x:v>
      </x:c>
    </x:row>
    <x:row r="197" ht="82" customHeight="1">
      <x:c r="A197" s="21" t="n">
        <x:v>193</x:v>
      </x:c>
      <x:c r="B197" s="21" t="str">
        <x:v>Version A</x:v>
      </x:c>
      <x:c r="C197" s="21" t="str">
        <x:v>acs_aggregate_household_income_mortgaged_owner_benchmark</x:v>
      </x:c>
      <x:c r="D197" s="21" t="str">
        <x:v>ACS aggregate household income - mortgaged owners benchmark</x:v>
      </x:c>
      <x:c r="E197" s="29" t="str">
        <x:v>Have</x:v>
      </x:c>
      <x:c r="F197" s="29" t="str">
        <x:v>Have</x:v>
      </x:c>
      <x:c r="G197" s="21" t="str">
        <x:v>census_acs5_finance (U.S. Census Bureau)</x:v>
      </x:c>
      <x:c r="H197" s="21" t="str">
        <x:v>U.S. Census Bureau</x:v>
      </x:c>
      <x:c r="I197" s="33" t="str">
        <x:v>No</x:v>
      </x:c>
      <x:c r="J197" s="21" t="str">
        <x:v>None for this variable in the latest document. Version A ACS/PUMS/PMMS/FHFA/BLS finance construction is outside the latest Additional Variables document's assigned variables and sources.</x:v>
      </x:c>
      <x:c r="K197" s="21" t="str">
        <x:v>Used for the repository's Version A mortgage-finance benchmark: Published aggregate household income for owner-occupied housing units with a mortgage. This is earlier/repository scope, not authority from the latest Additional Variables document.</x:v>
      </x:c>
      <x:c r="L197" s="21" t="str">
        <x:v>2024 ACS five-year benchmark: 1/1 California county rows non-null.</x:v>
      </x:c>
      <x:c r="M197" s="21" t="str">
        <x:v>None beyond the source-specific refresh workflow.</x:v>
      </x:c>
      <x:c r="N197" s="21" t="str">
        <x:v>The latest document's source-scoped sections 3-9 do not define the Version A finance benchmark.</x:v>
      </x:c>
    </x:row>
    <x:row r="198" ht="82" customHeight="1">
      <x:c r="A198" s="20" t="n">
        <x:v>194</x:v>
      </x:c>
      <x:c r="B198" s="20" t="str">
        <x:v>Version A</x:v>
      </x:c>
      <x:c r="C198" s="20" t="str">
        <x:v>acs_aggregate_household_income_no_mortgage_owner_benchmark</x:v>
      </x:c>
      <x:c r="D198" s="20" t="str">
        <x:v>ACS aggregate household income - mortgage-free owners benchmark</x:v>
      </x:c>
      <x:c r="E198" s="29" t="str">
        <x:v>Have</x:v>
      </x:c>
      <x:c r="F198" s="29" t="str">
        <x:v>Have</x:v>
      </x:c>
      <x:c r="G198" s="20" t="str">
        <x:v>census_acs5_finance (U.S. Census Bureau)</x:v>
      </x:c>
      <x:c r="H198" s="20" t="str">
        <x:v>U.S. Census Bureau</x:v>
      </x:c>
      <x:c r="I198" s="33" t="str">
        <x:v>No</x:v>
      </x:c>
      <x:c r="J198" s="20" t="str">
        <x:v>None for this variable in the latest document. Version A ACS/PUMS/PMMS/FHFA/BLS finance construction is outside the latest Additional Variables document's assigned variables and sources.</x:v>
      </x:c>
      <x:c r="K198" s="20" t="str">
        <x:v>Used for the repository's Version A mortgage-finance benchmark: Published aggregate household income for owner-occupied housing units without a mortgage. This is earlier/repository scope, not authority from the latest Additional Variables document.</x:v>
      </x:c>
      <x:c r="L198" s="20" t="str">
        <x:v>2024 ACS five-year benchmark: 1/1 California county rows non-null.</x:v>
      </x:c>
      <x:c r="M198" s="20" t="str">
        <x:v>None beyond the source-specific refresh workflow.</x:v>
      </x:c>
      <x:c r="N198" s="20" t="str">
        <x:v>The latest document's source-scoped sections 3-9 do not define the Version A finance benchmark.</x:v>
      </x:c>
    </x:row>
    <x:row r="199" ht="82" customHeight="1">
      <x:c r="A199" s="21" t="n">
        <x:v>195</x:v>
      </x:c>
      <x:c r="B199" s="21" t="str">
        <x:v>Version A</x:v>
      </x:c>
      <x:c r="C199" s="21" t="str">
        <x:v>pums_first_mortgage_pi_share_benchmark</x:v>
      </x:c>
      <x:c r="D199" s="21" t="str">
        <x:v>PUMS first-mortgage P&amp;I share source benchmark</x:v>
      </x:c>
      <x:c r="E199" s="29" t="str">
        <x:v>Have</x:v>
      </x:c>
      <x:c r="F199" s="29" t="str">
        <x:v>Have</x:v>
      </x:c>
      <x:c r="G199" s="21" t="str">
        <x:v>census_acs5_pums_housing_ca | census_tract_to_puma_2020 (U.S. Census Bureau)</x:v>
      </x:c>
      <x:c r="H199" s="21" t="str">
        <x:v>U.S. Census Bureau</x:v>
      </x:c>
      <x:c r="I199" s="33" t="str">
        <x:v>No</x:v>
      </x:c>
      <x:c r="J199" s="21" t="str">
        <x:v>None for this variable in the latest document. Version A ACS/PUMS/PMMS/FHFA/BLS finance construction is outside the latest Additional Variables document's assigned variables and sources.</x:v>
      </x:c>
      <x:c r="K199" s="21" t="str">
        <x:v>Used for the repository's Version A mortgage-finance benchmark: Selected county-target PUMS first-mortgage P&amp;I share from the documented geography hierarchy. This is earlier/repository scope, not authority from the latest Additional Variables document.</x:v>
      </x:c>
      <x:c r="L199" s="21" t="str">
        <x:v>2024 ACS five-year benchmark: 1/1 California county rows non-null.</x:v>
      </x:c>
      <x:c r="M199" s="21" t="str">
        <x:v>None beyond the source-specific refresh workflow.</x:v>
      </x:c>
      <x:c r="N199" s="21" t="str">
        <x:v>The latest document's source-scoped sections 3-9 do not define the Version A finance benchmark.</x:v>
      </x:c>
    </x:row>
    <x:row r="200" ht="82" customHeight="1">
      <x:c r="A200" s="20" t="n">
        <x:v>196</x:v>
      </x:c>
      <x:c r="B200" s="20" t="str">
        <x:v>Version A</x:v>
      </x:c>
      <x:c r="C200" s="20" t="str">
        <x:v>pums_first_mortgage_pi_share_applied_benchmark</x:v>
      </x:c>
      <x:c r="D200" s="20" t="str">
        <x:v>Applied PUMS first-mortgage P&amp;I share benchmark</x:v>
      </x:c>
      <x:c r="E200" s="29" t="str">
        <x:v>Have</x:v>
      </x:c>
      <x:c r="F200" s="29" t="str">
        <x:v>Have</x:v>
      </x:c>
      <x:c r="G200" s="20" t="str">
        <x:v>census_acs5_finance | census_acs5_pums_housing_ca | census_tract_to_puma_2020 (U.S. Census Bureau)</x:v>
      </x:c>
      <x:c r="H200" s="20" t="str">
        <x:v>U.S. Census Bureau</x:v>
      </x:c>
      <x:c r="I200" s="33" t="str">
        <x:v>No</x:v>
      </x:c>
      <x:c r="J200" s="20" t="str">
        <x:v>None for this variable in the latest document. Version A ACS/PUMS/PMMS/FHFA/BLS finance construction is outside the latest Additional Variables document's assigned variables and sources.</x:v>
      </x:c>
      <x:c r="K200" s="20" t="str">
        <x:v>Used for the repository's Version A mortgage-finance benchmark: Weighted share of selected monthly owner costs attributable to first-mortgage principal and interest. This is earlier/repository scope, not authority from the latest Additional Variables document.</x:v>
      </x:c>
      <x:c r="L200" s="20" t="str">
        <x:v>2024 ACS five-year benchmark: 1/1 California county rows non-null.</x:v>
      </x:c>
      <x:c r="M200" s="20" t="str">
        <x:v>None beyond the source-specific refresh workflow.</x:v>
      </x:c>
      <x:c r="N200" s="20" t="str">
        <x:v>The latest document's source-scoped sections 3-9 do not define the Version A finance benchmark.</x:v>
      </x:c>
    </x:row>
    <x:row r="201" ht="82" customHeight="1">
      <x:c r="A201" s="21" t="n">
        <x:v>197</x:v>
      </x:c>
      <x:c r="B201" s="21" t="str">
        <x:v>Version A</x:v>
      </x:c>
      <x:c r="C201" s="21" t="str">
        <x:v>pums_junior_lien_payment_per_mortgaged_unit_benchmark</x:v>
      </x:c>
      <x:c r="D201" s="21" t="str">
        <x:v>PUMS junior-lien monthly payment per mortgaged unit benchmark</x:v>
      </x:c>
      <x:c r="E201" s="29" t="str">
        <x:v>Have</x:v>
      </x:c>
      <x:c r="F201" s="29" t="str">
        <x:v>Have</x:v>
      </x:c>
      <x:c r="G201" s="21" t="str">
        <x:v>census_acs5_pums_housing_ca | census_tract_to_puma_2020 (U.S. Census Bureau)</x:v>
      </x:c>
      <x:c r="H201" s="21" t="str">
        <x:v>U.S. Census Bureau</x:v>
      </x:c>
      <x:c r="I201" s="33" t="str">
        <x:v>No</x:v>
      </x:c>
      <x:c r="J201" s="21" t="str">
        <x:v>None for this variable in the latest document. Version A ACS/PUMS/PMMS/FHFA/BLS finance construction is outside the latest Additional Variables document's assigned variables and sources.</x:v>
      </x:c>
      <x:c r="K201" s="21" t="str">
        <x:v>Used for the repository's Version A mortgage-finance benchmark: ADJHSG-adjusted WGTP-weighted SMP monthly payment per eligible owner-occupied first-mortgage PUMS unit. This is earlier/repository scope, not authority from the latest Additional Variables document.</x:v>
      </x:c>
      <x:c r="L201" s="21" t="str">
        <x:v>2024 ACS five-year benchmark: 1/1 California county rows non-null.</x:v>
      </x:c>
      <x:c r="M201" s="21" t="str">
        <x:v>None beyond the source-specific refresh workflow.</x:v>
      </x:c>
      <x:c r="N201" s="21" t="str">
        <x:v>The latest document's source-scoped sections 3-9 do not define the Version A finance benchmark.</x:v>
      </x:c>
    </x:row>
    <x:row r="202" ht="82" customHeight="1">
      <x:c r="A202" s="20" t="n">
        <x:v>198</x:v>
      </x:c>
      <x:c r="B202" s="20" t="str">
        <x:v>Version A</x:v>
      </x:c>
      <x:c r="C202" s="20" t="str">
        <x:v>acs_estimated_aggregate_monthly_first_mortgage_pi_benchmark</x:v>
      </x:c>
      <x:c r="D202" s="20" t="str">
        <x:v>Estimated aggregate monthly first-mortgage P&amp;I benchmark</x:v>
      </x:c>
      <x:c r="E202" s="29" t="str">
        <x:v>Have</x:v>
      </x:c>
      <x:c r="F202" s="29" t="str">
        <x:v>Have</x:v>
      </x:c>
      <x:c r="G202" s="20" t="str">
        <x:v>census_acs5_finance | census_acs5_pums_housing_ca | census_tract_to_puma_2020 (U.S. Census Bureau)</x:v>
      </x:c>
      <x:c r="H202" s="20" t="str">
        <x:v>U.S. Census Bureau</x:v>
      </x:c>
      <x:c r="I202" s="33" t="str">
        <x:v>No</x:v>
      </x:c>
      <x:c r="J202" s="20" t="str">
        <x:v>None for this variable in the latest document. Version A ACS/PUMS/PMMS/FHFA/BLS finance construction is outside the latest Additional Variables document's assigned variables and sources.</x:v>
      </x:c>
      <x:c r="K202" s="20" t="str">
        <x:v>Used for the repository's Version A mortgage-finance benchmark: ACS aggregate selected owner costs multiplied by the source-period PUMS first-mortgage P&amp;I share. This is earlier/repository scope, not authority from the latest Additional Variables document.</x:v>
      </x:c>
      <x:c r="L202" s="20" t="str">
        <x:v>2024 ACS five-year benchmark: 1/1 California county rows non-null.</x:v>
      </x:c>
      <x:c r="M202" s="20" t="str">
        <x:v>None beyond the source-specific refresh workflow.</x:v>
      </x:c>
      <x:c r="N202" s="20" t="str">
        <x:v>The latest document's source-scoped sections 3-9 do not define the Version A finance benchmark.</x:v>
      </x:c>
    </x:row>
    <x:row r="203" ht="82" customHeight="1">
      <x:c r="A203" s="21" t="n">
        <x:v>199</x:v>
      </x:c>
      <x:c r="B203" s="21" t="str">
        <x:v>Version A</x:v>
      </x:c>
      <x:c r="C203" s="21" t="str">
        <x:v>acs_first_mortgage_pi_per_mortgaged_unit_benchmark</x:v>
      </x:c>
      <x:c r="D203" s="21" t="str">
        <x:v>First-mortgage P&amp;I per mortgaged unit benchmark</x:v>
      </x:c>
      <x:c r="E203" s="29" t="str">
        <x:v>Have</x:v>
      </x:c>
      <x:c r="F203" s="29" t="str">
        <x:v>Have</x:v>
      </x:c>
      <x:c r="G203" s="21" t="str">
        <x:v>census_acs5_finance | census_acs5_pums_housing_ca | census_tract_to_puma_2020 (U.S. Census Bureau)</x:v>
      </x:c>
      <x:c r="H203" s="21" t="str">
        <x:v>U.S. Census Bureau</x:v>
      </x:c>
      <x:c r="I203" s="33" t="str">
        <x:v>No</x:v>
      </x:c>
      <x:c r="J203" s="21" t="str">
        <x:v>None for this variable in the latest document. Version A ACS/PUMS/PMMS/FHFA/BLS finance construction is outside the latest Additional Variables document's assigned variables and sources.</x:v>
      </x:c>
      <x:c r="K203" s="21" t="str">
        <x:v>Used for the repository's Version A mortgage-finance benchmark: Aggregate monthly first-mortgage P&amp;I divided by directly published mortgaged owner units. This is earlier/repository scope, not authority from the latest Additional Variables document.</x:v>
      </x:c>
      <x:c r="L203" s="21" t="str">
        <x:v>2024 ACS five-year benchmark: 1/1 California county rows non-null.</x:v>
      </x:c>
      <x:c r="M203" s="21" t="str">
        <x:v>None beyond the source-specific refresh workflow.</x:v>
      </x:c>
      <x:c r="N203" s="21" t="str">
        <x:v>The latest document's source-scoped sections 3-9 do not define the Version A finance benchmark.</x:v>
      </x:c>
    </x:row>
    <x:row r="204" ht="82" customHeight="1">
      <x:c r="A204" s="20" t="n">
        <x:v>200</x:v>
      </x:c>
      <x:c r="B204" s="20" t="str">
        <x:v>Version A</x:v>
      </x:c>
      <x:c r="C204" s="20" t="str">
        <x:v>acs_annual_first_mortgage_debt_service_benchmark</x:v>
      </x:c>
      <x:c r="D204" s="20" t="str">
        <x:v>Annual first-mortgage debt service benchmark</x:v>
      </x:c>
      <x:c r="E204" s="29" t="str">
        <x:v>Have</x:v>
      </x:c>
      <x:c r="F204" s="29" t="str">
        <x:v>Have</x:v>
      </x:c>
      <x:c r="G204" s="20" t="str">
        <x:v>census_acs5_finance | census_acs5_pums_housing_ca | census_tract_to_puma_2020 (U.S. Census Bureau)</x:v>
      </x:c>
      <x:c r="H204" s="20" t="str">
        <x:v>U.S. Census Bureau</x:v>
      </x:c>
      <x:c r="I204" s="33" t="str">
        <x:v>No</x:v>
      </x:c>
      <x:c r="J204" s="20" t="str">
        <x:v>None for this variable in the latest document. Version A ACS/PUMS/PMMS/FHFA/BLS finance construction is outside the latest Additional Variables document's assigned variables and sources.</x:v>
      </x:c>
      <x:c r="K204" s="20" t="str">
        <x:v>Used for the repository's Version A mortgage-finance benchmark: Twelve times aggregate monthly first-mortgage P&amp;I. This is earlier/repository scope, not authority from the latest Additional Variables document.</x:v>
      </x:c>
      <x:c r="L204" s="20" t="str">
        <x:v>2024 ACS five-year benchmark: 1/1 California county rows non-null.</x:v>
      </x:c>
      <x:c r="M204" s="20" t="str">
        <x:v>None beyond the source-specific refresh workflow.</x:v>
      </x:c>
      <x:c r="N204" s="20" t="str">
        <x:v>The latest document's source-scoped sections 3-9 do not define the Version A finance benchmark.</x:v>
      </x:c>
    </x:row>
    <x:row r="205" ht="82" customHeight="1">
      <x:c r="A205" s="21" t="n">
        <x:v>201</x:v>
      </x:c>
      <x:c r="B205" s="21" t="str">
        <x:v>Version A</x:v>
      </x:c>
      <x:c r="C205" s="21" t="str">
        <x:v>acs_mortgage_debt_service_to_income_benchmark</x:v>
      </x:c>
      <x:c r="D205" s="21" t="str">
        <x:v>Mortgage debt-service-to-income benchmark</x:v>
      </x:c>
      <x:c r="E205" s="29" t="str">
        <x:v>Have</x:v>
      </x:c>
      <x:c r="F205" s="29" t="str">
        <x:v>Have</x:v>
      </x:c>
      <x:c r="G205" s="21" t="str">
        <x:v>census_acs5_finance | census_acs5_pums_housing_ca | census_tract_to_puma_2020 (U.S. Census Bureau)</x:v>
      </x:c>
      <x:c r="H205" s="21" t="str">
        <x:v>U.S. Census Bureau</x:v>
      </x:c>
      <x:c r="I205" s="33" t="str">
        <x:v>No</x:v>
      </x:c>
      <x:c r="J205" s="21" t="str">
        <x:v>None for this variable in the latest document. Version A ACS/PUMS/PMMS/FHFA/BLS finance construction is outside the latest Additional Variables document's assigned variables and sources.</x:v>
      </x:c>
      <x:c r="K205" s="21" t="str">
        <x:v>Used for the repository's Version A mortgage-finance benchmark: Annualized first-mortgage P&amp;I divided by matched mortgaged-owner aggregate household income. This is earlier/repository scope, not authority from the latest Additional Variables document.</x:v>
      </x:c>
      <x:c r="L205" s="21" t="str">
        <x:v>2024 ACS five-year benchmark: 1/1 California county rows non-null.</x:v>
      </x:c>
      <x:c r="M205" s="21" t="str">
        <x:v>None beyond the source-specific refresh workflow.</x:v>
      </x:c>
      <x:c r="N205" s="21" t="str">
        <x:v>The latest document's source-scoped sections 3-9 do not define the Version A finance benchmark.</x:v>
      </x:c>
    </x:row>
    <x:row r="206" ht="82" customHeight="1">
      <x:c r="A206" s="20" t="n">
        <x:v>202</x:v>
      </x:c>
      <x:c r="B206" s="20" t="str">
        <x:v>Version A</x:v>
      </x:c>
      <x:c r="C206" s="20" t="str">
        <x:v>acs_implied_first_mortgage_balance_raw_benchmark</x:v>
      </x:c>
      <x:c r="D206" s="20" t="str">
        <x:v>Raw implied first-mortgage balance benchmark</x:v>
      </x:c>
      <x:c r="E206" s="29" t="str">
        <x:v>Have</x:v>
      </x:c>
      <x:c r="F206" s="25" t="str">
        <x:v>Partial</x:v>
      </x:c>
      <x:c r="G206" s="20" t="str">
        <x:v>census_acs5_finance | census_acs5_pums_housing_ca | census_acs_5year_b25003 | census_acs_5year_b25077 | census_acs_5year_b25081 | census_acs_5year_b25106 | census_tract_to_puma_2020 | freddie_mac_pmms (U.S. Census Bureau/FHFA/Freddie Mac)</x:v>
      </x:c>
      <x:c r="H206" s="20" t="str">
        <x:v>U.S. Census Bureau/FHFA/Freddie Mac</x:v>
      </x:c>
      <x:c r="I206" s="33" t="str">
        <x:v>No</x:v>
      </x:c>
      <x:c r="J206" s="20" t="str">
        <x:v>None for this variable in the latest document. Version A ACS/PUMS/PMMS/FHFA/BLS finance construction is outside the latest Additional Variables document's assigned variables and sources.</x:v>
      </x:c>
      <x:c r="K206" s="20" t="str">
        <x:v>Used for the repository's Version A mortgage-finance benchmark: Fixed-rate-equivalent first-lien balance capitalized from aggregate P&amp;I using a joint NMDB rate-term distribution or labeled PMMS term sensitivity. This is earlier/repository scope, not authority from the latest Additional Variables document.</x:v>
      </x:c>
      <x:c r="L206" s="20" t="str">
        <x:v>2024 ACS five-year benchmark: 1/1 California county rows non-null.</x:v>
      </x:c>
      <x:c r="M206" s="20" t="str">
        <x:v>Universe compatibility / methodology decision: Obtain an exact-date California owner-occupied closed-end first-lien UPB control or approve an explicit compatible-universe calibration rule.</x:v>
      </x:c>
      <x:c r="N206" s="20" t="str">
        <x:v>The latest document's source-scoped sections 3-9 do not define the Version A finance benchmark.</x:v>
      </x:c>
    </x:row>
    <x:row r="207" ht="82" customHeight="1">
      <x:c r="A207" s="21" t="n">
        <x:v>203</x:v>
      </x:c>
      <x:c r="B207" s="21" t="str">
        <x:v>Version A</x:v>
      </x:c>
      <x:c r="C207" s="21" t="str">
        <x:v>acs_implied_first_mortgage_balance_raw_pmms_20y_sensitivity_benchmark</x:v>
      </x:c>
      <x:c r="D207" s="21" t="str">
        <x:v>Raw implied first-mortgage balance PMMS 20-year sensitivity benchmark</x:v>
      </x:c>
      <x:c r="E207" s="29" t="str">
        <x:v>Have</x:v>
      </x:c>
      <x:c r="F207" s="25" t="str">
        <x:v>Partial</x:v>
      </x:c>
      <x:c r="G207" s="21" t="str">
        <x:v>census_acs5_finance | census_acs5_pums_housing_ca | census_acs_5year_b25003 | census_acs_5year_b25077 | census_acs_5year_b25081 | census_acs_5year_b25106 | census_tract_to_puma_2020 | freddie_mac_pmms (U.S. Census Bureau/Freddie Mac)</x:v>
      </x:c>
      <x:c r="H207" s="21" t="str">
        <x:v>U.S. Census Bureau/Freddie Mac</x:v>
      </x:c>
      <x:c r="I207" s="33" t="str">
        <x:v>No</x:v>
      </x:c>
      <x:c r="J207" s="21" t="str">
        <x:v>None for this variable in the latest document. Version A ACS/PUMS/PMMS/FHFA/BLS finance construction is outside the latest Additional Variables document's assigned variables and sources.</x:v>
      </x:c>
      <x:c r="K207" s="21" t="str">
        <x:v>Used for the repository's Version A mortgage-finance benchmark: Fixed-rate-equivalent first-lien balance capitalized from aggregate P&amp;I with the exact-reference-month PMMS rate and a 20-year remaining term. This is earlier/repository scope, not authority from the latest Additional Variables document.</x:v>
      </x:c>
      <x:c r="L207" s="21" t="str">
        <x:v>2024 ACS five-year benchmark: 1/1 California county rows non-null.</x:v>
      </x:c>
      <x:c r="M207" s="21" t="str">
        <x:v>Universe compatibility / methodology decision: Obtain an exact-date California owner-occupied closed-end first-lien UPB control or approve an explicit compatible-universe calibration rule.</x:v>
      </x:c>
      <x:c r="N207" s="21" t="str">
        <x:v>The latest document's source-scoped sections 3-9 do not define the Version A finance benchmark.</x:v>
      </x:c>
    </x:row>
    <x:row r="208" ht="82" customHeight="1">
      <x:c r="A208" s="20" t="n">
        <x:v>204</x:v>
      </x:c>
      <x:c r="B208" s="20" t="str">
        <x:v>Version A</x:v>
      </x:c>
      <x:c r="C208" s="20" t="str">
        <x:v>acs_implied_first_mortgage_balance_raw_pmms_25y_sensitivity_benchmark</x:v>
      </x:c>
      <x:c r="D208" s="20" t="str">
        <x:v>Raw implied first-mortgage balance PMMS 25-year sensitivity benchmark</x:v>
      </x:c>
      <x:c r="E208" s="29" t="str">
        <x:v>Have</x:v>
      </x:c>
      <x:c r="F208" s="25" t="str">
        <x:v>Partial</x:v>
      </x:c>
      <x:c r="G208" s="20" t="str">
        <x:v>census_acs5_finance | census_acs5_pums_housing_ca | census_acs_5year_b25003 | census_acs_5year_b25077 | census_acs_5year_b25081 | census_acs_5year_b25106 | census_tract_to_puma_2020 | freddie_mac_pmms (U.S. Census Bureau/Freddie Mac)</x:v>
      </x:c>
      <x:c r="H208" s="20" t="str">
        <x:v>U.S. Census Bureau/Freddie Mac</x:v>
      </x:c>
      <x:c r="I208" s="33" t="str">
        <x:v>No</x:v>
      </x:c>
      <x:c r="J208" s="20" t="str">
        <x:v>None for this variable in the latest document. Version A ACS/PUMS/PMMS/FHFA/BLS finance construction is outside the latest Additional Variables document's assigned variables and sources.</x:v>
      </x:c>
      <x:c r="K208" s="20" t="str">
        <x:v>Used for the repository's Version A mortgage-finance benchmark: Fixed-rate-equivalent first-lien balance capitalized from aggregate P&amp;I with the exact-reference-month PMMS rate and a 25-year remaining term. This is earlier/repository scope, not authority from the latest Additional Variables document.</x:v>
      </x:c>
      <x:c r="L208" s="20" t="str">
        <x:v>2024 ACS five-year benchmark: 1/1 California county rows non-null.</x:v>
      </x:c>
      <x:c r="M208" s="20" t="str">
        <x:v>Universe compatibility / methodology decision: Obtain an exact-date California owner-occupied closed-end first-lien UPB control or approve an explicit compatible-universe calibration rule.</x:v>
      </x:c>
      <x:c r="N208" s="20" t="str">
        <x:v>The latest document's source-scoped sections 3-9 do not define the Version A finance benchmark.</x:v>
      </x:c>
    </x:row>
    <x:row r="209" ht="82" customHeight="1">
      <x:c r="A209" s="21" t="n">
        <x:v>205</x:v>
      </x:c>
      <x:c r="B209" s="21" t="str">
        <x:v>Version A</x:v>
      </x:c>
      <x:c r="C209" s="21" t="str">
        <x:v>acs_implied_first_mortgage_balance_raw_pmms_30y_sensitivity_benchmark</x:v>
      </x:c>
      <x:c r="D209" s="21" t="str">
        <x:v>Raw implied first-mortgage balance PMMS 30-year sensitivity benchmark</x:v>
      </x:c>
      <x:c r="E209" s="29" t="str">
        <x:v>Have</x:v>
      </x:c>
      <x:c r="F209" s="25" t="str">
        <x:v>Partial</x:v>
      </x:c>
      <x:c r="G209" s="21" t="str">
        <x:v>census_acs5_finance | census_acs5_pums_housing_ca | census_acs_5year_b25003 | census_acs_5year_b25077 | census_acs_5year_b25081 | census_acs_5year_b25106 | census_tract_to_puma_2020 | freddie_mac_pmms (U.S. Census Bureau/Freddie Mac)</x:v>
      </x:c>
      <x:c r="H209" s="21" t="str">
        <x:v>U.S. Census Bureau/Freddie Mac</x:v>
      </x:c>
      <x:c r="I209" s="33" t="str">
        <x:v>No</x:v>
      </x:c>
      <x:c r="J209" s="21" t="str">
        <x:v>None for this variable in the latest document. Version A ACS/PUMS/PMMS/FHFA/BLS finance construction is outside the latest Additional Variables document's assigned variables and sources.</x:v>
      </x:c>
      <x:c r="K209" s="21" t="str">
        <x:v>Used for the repository's Version A mortgage-finance benchmark: Fixed-rate-equivalent first-lien balance capitalized from aggregate P&amp;I with the exact-reference-month PMMS rate and a 30-year remaining term. This is earlier/repository scope, not authority from the latest Additional Variables document.</x:v>
      </x:c>
      <x:c r="L209" s="21" t="str">
        <x:v>2024 ACS five-year benchmark: 1/1 California county rows non-null.</x:v>
      </x:c>
      <x:c r="M209" s="21" t="str">
        <x:v>Universe compatibility / methodology decision: Obtain an exact-date California owner-occupied closed-end first-lien UPB control or approve an explicit compatible-universe calibration rule.</x:v>
      </x:c>
      <x:c r="N209" s="21" t="str">
        <x:v>The latest document's source-scoped sections 3-9 do not define the Version A finance benchmark.</x:v>
      </x:c>
    </x:row>
    <x:row r="210" ht="82" customHeight="1">
      <x:c r="A210" s="20" t="n">
        <x:v>206</x:v>
      </x:c>
      <x:c r="B210" s="20" t="str">
        <x:v>Version A</x:v>
      </x:c>
      <x:c r="C210" s="20" t="str">
        <x:v>acs_implied_owner_occupied_home_equity_mortgaged_pmms_20y_scenario_benchmark</x:v>
      </x:c>
      <x:c r="D210" s="20" t="str">
        <x:v>Mortgaged-owner home equity PMMS 20-year scenario benchmark</x:v>
      </x:c>
      <x:c r="E210" s="29" t="str">
        <x:v>Have</x:v>
      </x:c>
      <x:c r="F210" s="29" t="str">
        <x:v>Have</x:v>
      </x:c>
      <x:c r="G210" s="20" t="str">
        <x:v>census_acs5_finance | census_acs5_pums_housing_ca | census_acs_5year_b25003 | census_acs_5year_b25077 | census_acs_5year_b25081 | census_acs_5year_b25106 | census_tract_to_puma_2020 | freddie_mac_pmms (U.S. Census Bureau/Freddie Mac)</x:v>
      </x:c>
      <x:c r="H210" s="20" t="str">
        <x:v>U.S. Census Bureau/Freddie Mac</x:v>
      </x:c>
      <x:c r="I210" s="33" t="str">
        <x:v>No</x:v>
      </x:c>
      <x:c r="J210" s="20" t="str">
        <x:v>None for this variable in the latest document. Version A ACS/PUMS/PMMS/FHFA/BLS finance construction is outside the latest Additional Variables document's assigned variables and sources.</x:v>
      </x:c>
      <x:c r="K210" s="20" t="str">
        <x:v>Used for the repository's Version A mortgage-finance benchmark: Published mortgaged-owner aggregate home value less the matching uncalibrated PMMS 20-year debt sensitivity. This is earlier/repository scope, not authority from the latest Additional Variables document.</x:v>
      </x:c>
      <x:c r="L210" s="20" t="str">
        <x:v>2024 ACS five-year benchmark: 1/1 California county rows non-null.</x:v>
      </x:c>
      <x:c r="M210" s="20" t="str">
        <x:v>None beyond the source-specific refresh workflow.</x:v>
      </x:c>
      <x:c r="N210" s="20" t="str">
        <x:v>The latest document's source-scoped sections 3-9 do not define the Version A finance benchmark.</x:v>
      </x:c>
    </x:row>
    <x:row r="211" ht="82" customHeight="1">
      <x:c r="A211" s="21" t="n">
        <x:v>207</x:v>
      </x:c>
      <x:c r="B211" s="21" t="str">
        <x:v>Version A</x:v>
      </x:c>
      <x:c r="C211" s="21" t="str">
        <x:v>acs_implied_owner_occupied_home_equity_all_pmms_20y_scenario_benchmark</x:v>
      </x:c>
      <x:c r="D211" s="21" t="str">
        <x:v>All-owner home equity PMMS 20-year scenario benchmark</x:v>
      </x:c>
      <x:c r="E211" s="29" t="str">
        <x:v>Have</x:v>
      </x:c>
      <x:c r="F211" s="29" t="str">
        <x:v>Have</x:v>
      </x:c>
      <x:c r="G211" s="21" t="str">
        <x:v>census_acs5_finance | census_acs5_pums_housing_ca | census_acs_5year_b25003 | census_acs_5year_b25077 | census_acs_5year_b25081 | census_acs_5year_b25106 | census_tract_to_puma_2020 | freddie_mac_pmms (U.S. Census Bureau/Freddie Mac)</x:v>
      </x:c>
      <x:c r="H211" s="21" t="str">
        <x:v>U.S. Census Bureau/Freddie Mac</x:v>
      </x:c>
      <x:c r="I211" s="33" t="str">
        <x:v>No</x:v>
      </x:c>
      <x:c r="J211" s="21" t="str">
        <x:v>None for this variable in the latest document. Version A ACS/PUMS/PMMS/FHFA/BLS finance construction is outside the latest Additional Variables document's assigned variables and sources.</x:v>
      </x:c>
      <x:c r="K211" s="21" t="str">
        <x:v>Used for the repository's Version A mortgage-finance benchmark: PMMS 20-year mortgaged-owner scenario equity plus published mortgage-free owner value. This is earlier/repository scope, not authority from the latest Additional Variables document.</x:v>
      </x:c>
      <x:c r="L211" s="21" t="str">
        <x:v>2024 ACS five-year benchmark: 1/1 California county rows non-null.</x:v>
      </x:c>
      <x:c r="M211" s="21" t="str">
        <x:v>None beyond the source-specific refresh workflow.</x:v>
      </x:c>
      <x:c r="N211" s="21" t="str">
        <x:v>The latest document's source-scoped sections 3-9 do not define the Version A finance benchmark.</x:v>
      </x:c>
    </x:row>
    <x:row r="212" ht="82" customHeight="1">
      <x:c r="A212" s="20" t="n">
        <x:v>208</x:v>
      </x:c>
      <x:c r="B212" s="20" t="str">
        <x:v>Version A</x:v>
      </x:c>
      <x:c r="C212" s="20" t="str">
        <x:v>acs_implied_owner_occupied_home_equity_mortgaged_pmms_25y_scenario_benchmark</x:v>
      </x:c>
      <x:c r="D212" s="20" t="str">
        <x:v>Mortgaged-owner home equity PMMS 25-year scenario benchmark</x:v>
      </x:c>
      <x:c r="E212" s="29" t="str">
        <x:v>Have</x:v>
      </x:c>
      <x:c r="F212" s="29" t="str">
        <x:v>Have</x:v>
      </x:c>
      <x:c r="G212" s="20" t="str">
        <x:v>census_acs5_finance | census_acs5_pums_housing_ca | census_acs_5year_b25003 | census_acs_5year_b25077 | census_acs_5year_b25081 | census_acs_5year_b25106 | census_tract_to_puma_2020 | freddie_mac_pmms (U.S. Census Bureau/Freddie Mac)</x:v>
      </x:c>
      <x:c r="H212" s="20" t="str">
        <x:v>U.S. Census Bureau/Freddie Mac</x:v>
      </x:c>
      <x:c r="I212" s="33" t="str">
        <x:v>No</x:v>
      </x:c>
      <x:c r="J212" s="20" t="str">
        <x:v>None for this variable in the latest document. Version A ACS/PUMS/PMMS/FHFA/BLS finance construction is outside the latest Additional Variables document's assigned variables and sources.</x:v>
      </x:c>
      <x:c r="K212" s="20" t="str">
        <x:v>Used for the repository's Version A mortgage-finance benchmark: Published mortgaged-owner aggregate home value less the matching uncalibrated PMMS 25-year debt sensitivity. This is earlier/repository scope, not authority from the latest Additional Variables document.</x:v>
      </x:c>
      <x:c r="L212" s="20" t="str">
        <x:v>2024 ACS five-year benchmark: 1/1 California county rows non-null.</x:v>
      </x:c>
      <x:c r="M212" s="20" t="str">
        <x:v>None beyond the source-specific refresh workflow.</x:v>
      </x:c>
      <x:c r="N212" s="20" t="str">
        <x:v>The latest document's source-scoped sections 3-9 do not define the Version A finance benchmark.</x:v>
      </x:c>
    </x:row>
    <x:row r="213" ht="82" customHeight="1">
      <x:c r="A213" s="21" t="n">
        <x:v>209</x:v>
      </x:c>
      <x:c r="B213" s="21" t="str">
        <x:v>Version A</x:v>
      </x:c>
      <x:c r="C213" s="21" t="str">
        <x:v>acs_implied_owner_occupied_home_equity_all_pmms_25y_scenario_benchmark</x:v>
      </x:c>
      <x:c r="D213" s="21" t="str">
        <x:v>All-owner home equity PMMS 25-year scenario benchmark</x:v>
      </x:c>
      <x:c r="E213" s="29" t="str">
        <x:v>Have</x:v>
      </x:c>
      <x:c r="F213" s="29" t="str">
        <x:v>Have</x:v>
      </x:c>
      <x:c r="G213" s="21" t="str">
        <x:v>census_acs5_finance | census_acs5_pums_housing_ca | census_acs_5year_b25003 | census_acs_5year_b25077 | census_acs_5year_b25081 | census_acs_5year_b25106 | census_tract_to_puma_2020 | freddie_mac_pmms (U.S. Census Bureau/Freddie Mac)</x:v>
      </x:c>
      <x:c r="H213" s="21" t="str">
        <x:v>U.S. Census Bureau/Freddie Mac</x:v>
      </x:c>
      <x:c r="I213" s="33" t="str">
        <x:v>No</x:v>
      </x:c>
      <x:c r="J213" s="21" t="str">
        <x:v>None for this variable in the latest document. Version A ACS/PUMS/PMMS/FHFA/BLS finance construction is outside the latest Additional Variables document's assigned variables and sources.</x:v>
      </x:c>
      <x:c r="K213" s="21" t="str">
        <x:v>Used for the repository's Version A mortgage-finance benchmark: PMMS 25-year mortgaged-owner scenario equity plus published mortgage-free owner value. This is earlier/repository scope, not authority from the latest Additional Variables document.</x:v>
      </x:c>
      <x:c r="L213" s="21" t="str">
        <x:v>2024 ACS five-year benchmark: 1/1 California county rows non-null.</x:v>
      </x:c>
      <x:c r="M213" s="21" t="str">
        <x:v>None beyond the source-specific refresh workflow.</x:v>
      </x:c>
      <x:c r="N213" s="21" t="str">
        <x:v>The latest document's source-scoped sections 3-9 do not define the Version A finance benchmark.</x:v>
      </x:c>
    </x:row>
    <x:row r="214" ht="82" customHeight="1">
      <x:c r="A214" s="20" t="n">
        <x:v>210</x:v>
      </x:c>
      <x:c r="B214" s="20" t="str">
        <x:v>Version A</x:v>
      </x:c>
      <x:c r="C214" s="20" t="str">
        <x:v>acs_implied_owner_occupied_home_equity_mortgaged_pmms_30y_scenario_benchmark</x:v>
      </x:c>
      <x:c r="D214" s="20" t="str">
        <x:v>Mortgaged-owner home equity PMMS 30-year scenario benchmark</x:v>
      </x:c>
      <x:c r="E214" s="29" t="str">
        <x:v>Have</x:v>
      </x:c>
      <x:c r="F214" s="29" t="str">
        <x:v>Have</x:v>
      </x:c>
      <x:c r="G214" s="20" t="str">
        <x:v>census_acs5_finance | census_acs5_pums_housing_ca | census_acs_5year_b25003 | census_acs_5year_b25077 | census_acs_5year_b25081 | census_acs_5year_b25106 | census_tract_to_puma_2020 | freddie_mac_pmms (U.S. Census Bureau/Freddie Mac)</x:v>
      </x:c>
      <x:c r="H214" s="20" t="str">
        <x:v>U.S. Census Bureau/Freddie Mac</x:v>
      </x:c>
      <x:c r="I214" s="33" t="str">
        <x:v>No</x:v>
      </x:c>
      <x:c r="J214" s="20" t="str">
        <x:v>None for this variable in the latest document. Version A ACS/PUMS/PMMS/FHFA/BLS finance construction is outside the latest Additional Variables document's assigned variables and sources.</x:v>
      </x:c>
      <x:c r="K214" s="20" t="str">
        <x:v>Used for the repository's Version A mortgage-finance benchmark: Published mortgaged-owner aggregate home value less the matching uncalibrated PMMS 30-year debt sensitivity. This is earlier/repository scope, not authority from the latest Additional Variables document.</x:v>
      </x:c>
      <x:c r="L214" s="20" t="str">
        <x:v>2024 ACS five-year benchmark: 1/1 California county rows non-null.</x:v>
      </x:c>
      <x:c r="M214" s="20" t="str">
        <x:v>None beyond the source-specific refresh workflow.</x:v>
      </x:c>
      <x:c r="N214" s="20" t="str">
        <x:v>The latest document's source-scoped sections 3-9 do not define the Version A finance benchmark.</x:v>
      </x:c>
    </x:row>
    <x:row r="215" ht="82" customHeight="1">
      <x:c r="A215" s="21" t="n">
        <x:v>211</x:v>
      </x:c>
      <x:c r="B215" s="21" t="str">
        <x:v>Version A</x:v>
      </x:c>
      <x:c r="C215" s="21" t="str">
        <x:v>acs_implied_owner_occupied_home_equity_all_pmms_30y_scenario_benchmark</x:v>
      </x:c>
      <x:c r="D215" s="21" t="str">
        <x:v>All-owner home equity PMMS 30-year scenario benchmark</x:v>
      </x:c>
      <x:c r="E215" s="29" t="str">
        <x:v>Have</x:v>
      </x:c>
      <x:c r="F215" s="29" t="str">
        <x:v>Have</x:v>
      </x:c>
      <x:c r="G215" s="21" t="str">
        <x:v>census_acs5_finance | census_acs5_pums_housing_ca | census_acs_5year_b25003 | census_acs_5year_b25077 | census_acs_5year_b25081 | census_acs_5year_b25106 | census_tract_to_puma_2020 | freddie_mac_pmms (U.S. Census Bureau/Freddie Mac)</x:v>
      </x:c>
      <x:c r="H215" s="21" t="str">
        <x:v>U.S. Census Bureau/Freddie Mac</x:v>
      </x:c>
      <x:c r="I215" s="33" t="str">
        <x:v>No</x:v>
      </x:c>
      <x:c r="J215" s="21" t="str">
        <x:v>None for this variable in the latest document. Version A ACS/PUMS/PMMS/FHFA/BLS finance construction is outside the latest Additional Variables document's assigned variables and sources.</x:v>
      </x:c>
      <x:c r="K215" s="21" t="str">
        <x:v>Used for the repository's Version A mortgage-finance benchmark: PMMS 30-year mortgaged-owner scenario equity plus published mortgage-free owner value. This is earlier/repository scope, not authority from the latest Additional Variables document.</x:v>
      </x:c>
      <x:c r="L215" s="21" t="str">
        <x:v>2024 ACS five-year benchmark: 1/1 California county rows non-null.</x:v>
      </x:c>
      <x:c r="M215" s="21" t="str">
        <x:v>None beyond the source-specific refresh workflow.</x:v>
      </x:c>
      <x:c r="N215" s="21" t="str">
        <x:v>The latest document's source-scoped sections 3-9 do not define the Version A finance benchmark.</x:v>
      </x:c>
    </x:row>
    <x:row r="216" ht="82" customHeight="1">
      <x:c r="A216" s="20" t="n">
        <x:v>212</x:v>
      </x:c>
      <x:c r="B216" s="20" t="str">
        <x:v>Version A</x:v>
      </x:c>
      <x:c r="C216" s="20" t="str">
        <x:v>acs_implied_first_mortgage_balance_cal_benchmark</x:v>
      </x:c>
      <x:c r="D216" s="20" t="str">
        <x:v>California-calibrated implied first-mortgage balance benchmark</x:v>
      </x:c>
      <x:c r="E216" s="33" t="str">
        <x:v>Schema only</x:v>
      </x:c>
      <x:c r="F216" s="25" t="str">
        <x:v>Partial</x:v>
      </x:c>
      <x:c r="G216" s="20" t="str">
        <x:v>census_acs5_finance | census_acs5_pums_housing_ca | census_acs_5year_b25003 | census_acs_5year_b25077 | census_acs_5year_b25081 | census_acs_5year_b25106 | census_tract_to_puma_2020 | freddie_mac_pmms (U.S. Census Bureau/FHFA)</x:v>
      </x:c>
      <x:c r="H216" s="20" t="str">
        <x:v>U.S. Census Bureau/FHFA</x:v>
      </x:c>
      <x:c r="I216" s="33" t="str">
        <x:v>No</x:v>
      </x:c>
      <x:c r="J216" s="20" t="str">
        <x:v>None for this variable in the latest document. Version A ACS/PUMS/PMMS/FHFA/BLS finance construction is outside the latest Additional Variables document's assigned variables and sources.</x:v>
      </x:c>
      <x:c r="K216" s="20" t="str">
        <x:v>Used for the repository's Version A mortgage-finance benchmark: Raw county implied balance scaled to a compatible published California outstanding UPB total. This is earlier/repository scope, not authority from the latest Additional Variables document.</x:v>
      </x:c>
      <x:c r="L216" s="20" t="str">
        <x:v>2024 ACS five-year benchmark: 0/1 California county rows non-null; all rows are schema-only because calibration inputs are unresolved.</x:v>
      </x:c>
      <x:c r="M216" s="20" t="str">
        <x:v>Obtain a compatible official control or approve a documented compatible-universe calibration rule; no ordinary API key resolves this.</x:v>
      </x:c>
      <x:c r="N216" s="20" t="str">
        <x:v>The latest document's source-scoped sections 3-9 do not define the Version A finance benchmark.</x:v>
      </x:c>
    </x:row>
    <x:row r="217" ht="82" customHeight="1">
      <x:c r="A217" s="21" t="n">
        <x:v>213</x:v>
      </x:c>
      <x:c r="B217" s="21" t="str">
        <x:v>Version A</x:v>
      </x:c>
      <x:c r="C217" s="21" t="str">
        <x:v>acs_first_mortgage_debt_per_mortgaged_owner_unit_benchmark</x:v>
      </x:c>
      <x:c r="D217" s="21" t="str">
        <x:v>First-mortgage debt per mortgaged owner unit benchmark</x:v>
      </x:c>
      <x:c r="E217" s="33" t="str">
        <x:v>Schema only</x:v>
      </x:c>
      <x:c r="F217" s="25" t="str">
        <x:v>Partial</x:v>
      </x:c>
      <x:c r="G217" s="21" t="str">
        <x:v>census_acs5_finance | census_acs5_pums_housing_ca | census_tract_to_puma_2020 | freddie_mac_pmms (U.S. Census Bureau/FHFA)</x:v>
      </x:c>
      <x:c r="H217" s="21" t="str">
        <x:v>U.S. Census Bureau/FHFA</x:v>
      </x:c>
      <x:c r="I217" s="33" t="str">
        <x:v>No</x:v>
      </x:c>
      <x:c r="J217" s="21" t="str">
        <x:v>None for this variable in the latest document. Version A ACS/PUMS/PMMS/FHFA/BLS finance construction is outside the latest Additional Variables document's assigned variables and sources.</x:v>
      </x:c>
      <x:c r="K217" s="21" t="str">
        <x:v>Used for the repository's Version A mortgage-finance benchmark: California-calibrated first-mortgage debt divided by directly published mortgaged owner units. This is earlier/repository scope, not authority from the latest Additional Variables document.</x:v>
      </x:c>
      <x:c r="L217" s="21" t="str">
        <x:v>2024 ACS five-year benchmark: 0/1 California county rows non-null; all rows are schema-only because calibration inputs are unresolved.</x:v>
      </x:c>
      <x:c r="M217" s="21" t="str">
        <x:v>Obtain a compatible official control or approve a documented compatible-universe calibration rule; no ordinary API key resolves this.</x:v>
      </x:c>
      <x:c r="N217" s="21" t="str">
        <x:v>The latest document's source-scoped sections 3-9 do not define the Version A finance benchmark.</x:v>
      </x:c>
    </x:row>
    <x:row r="218" ht="82" customHeight="1">
      <x:c r="A218" s="20" t="n">
        <x:v>214</x:v>
      </x:c>
      <x:c r="B218" s="20" t="str">
        <x:v>Version A</x:v>
      </x:c>
      <x:c r="C218" s="20" t="str">
        <x:v>acs_first_mortgage_debt_per_owner_unit_benchmark</x:v>
      </x:c>
      <x:c r="D218" s="20" t="str">
        <x:v>First-mortgage debt per owner unit benchmark</x:v>
      </x:c>
      <x:c r="E218" s="33" t="str">
        <x:v>Schema only</x:v>
      </x:c>
      <x:c r="F218" s="25" t="str">
        <x:v>Partial</x:v>
      </x:c>
      <x:c r="G218" s="20" t="str">
        <x:v>census_acs5_finance | census_acs5_pums_housing_ca | census_tract_to_puma_2020 | freddie_mac_pmms (U.S. Census Bureau/FHFA)</x:v>
      </x:c>
      <x:c r="H218" s="20" t="str">
        <x:v>U.S. Census Bureau/FHFA</x:v>
      </x:c>
      <x:c r="I218" s="33" t="str">
        <x:v>No</x:v>
      </x:c>
      <x:c r="J218" s="20" t="str">
        <x:v>None for this variable in the latest document. Version A ACS/PUMS/PMMS/FHFA/BLS finance construction is outside the latest Additional Variables document's assigned variables and sources.</x:v>
      </x:c>
      <x:c r="K218" s="20" t="str">
        <x:v>Used for the repository's Version A mortgage-finance benchmark: California-calibrated first-mortgage debt divided by directly published owner-occupied units. This is earlier/repository scope, not authority from the latest Additional Variables document.</x:v>
      </x:c>
      <x:c r="L218" s="20" t="str">
        <x:v>2024 ACS five-year benchmark: 0/1 California county rows non-null; all rows are schema-only because calibration inputs are unresolved.</x:v>
      </x:c>
      <x:c r="M218" s="20" t="str">
        <x:v>Obtain a compatible official control or approve a documented compatible-universe calibration rule; no ordinary API key resolves this.</x:v>
      </x:c>
      <x:c r="N218" s="20" t="str">
        <x:v>The latest document's source-scoped sections 3-9 do not define the Version A finance benchmark.</x:v>
      </x:c>
    </x:row>
    <x:row r="219" ht="82" customHeight="1">
      <x:c r="A219" s="21" t="n">
        <x:v>215</x:v>
      </x:c>
      <x:c r="B219" s="21" t="str">
        <x:v>Version A</x:v>
      </x:c>
      <x:c r="C219" s="21" t="str">
        <x:v>acs_first_mortgage_debt_per_capita_benchmark</x:v>
      </x:c>
      <x:c r="D219" s="21" t="str">
        <x:v>First-mortgage debt per capita benchmark</x:v>
      </x:c>
      <x:c r="E219" s="33" t="str">
        <x:v>Schema only</x:v>
      </x:c>
      <x:c r="F219" s="25" t="str">
        <x:v>Partial</x:v>
      </x:c>
      <x:c r="G219" s="21" t="str">
        <x:v>census_acs5_finance | census_acs5_pums_housing_ca | census_tract_to_puma_2020 | freddie_mac_pmms (U.S. Census Bureau/FHFA)</x:v>
      </x:c>
      <x:c r="H219" s="21" t="str">
        <x:v>U.S. Census Bureau/FHFA</x:v>
      </x:c>
      <x:c r="I219" s="33" t="str">
        <x:v>No</x:v>
      </x:c>
      <x:c r="J219" s="21" t="str">
        <x:v>None for this variable in the latest document. Version A ACS/PUMS/PMMS/FHFA/BLS finance construction is outside the latest Additional Variables document's assigned variables and sources.</x:v>
      </x:c>
      <x:c r="K219" s="21" t="str">
        <x:v>Used for the repository's Version A mortgage-finance benchmark: California-calibrated first-mortgage debt divided by directly published total resident population. This is earlier/repository scope, not authority from the latest Additional Variables document.</x:v>
      </x:c>
      <x:c r="L219" s="21" t="str">
        <x:v>2024 ACS five-year benchmark: 0/1 California county rows non-null; all rows are schema-only because calibration inputs are unresolved.</x:v>
      </x:c>
      <x:c r="M219" s="21" t="str">
        <x:v>Obtain a compatible official control or approve a documented compatible-universe calibration rule; no ordinary API key resolves this.</x:v>
      </x:c>
      <x:c r="N219" s="21" t="str">
        <x:v>The latest document's source-scoped sections 3-9 do not define the Version A finance benchmark.</x:v>
      </x:c>
    </x:row>
    <x:row r="220" ht="82" customHeight="1">
      <x:c r="A220" s="20" t="n">
        <x:v>216</x:v>
      </x:c>
      <x:c r="B220" s="20" t="str">
        <x:v>Version A</x:v>
      </x:c>
      <x:c r="C220" s="20" t="str">
        <x:v>acs_first_mortgage_debt_to_owner_income_benchmark</x:v>
      </x:c>
      <x:c r="D220" s="20" t="str">
        <x:v>First-mortgage debt to owner income benchmark</x:v>
      </x:c>
      <x:c r="E220" s="33" t="str">
        <x:v>Schema only</x:v>
      </x:c>
      <x:c r="F220" s="25" t="str">
        <x:v>Partial</x:v>
      </x:c>
      <x:c r="G220" s="20" t="str">
        <x:v>census_acs5_finance | census_acs5_pums_housing_ca | census_tract_to_puma_2020 | freddie_mac_pmms (U.S. Census Bureau/FHFA)</x:v>
      </x:c>
      <x:c r="H220" s="20" t="str">
        <x:v>U.S. Census Bureau/FHFA</x:v>
      </x:c>
      <x:c r="I220" s="33" t="str">
        <x:v>No</x:v>
      </x:c>
      <x:c r="J220" s="20" t="str">
        <x:v>None for this variable in the latest document. Version A ACS/PUMS/PMMS/FHFA/BLS finance construction is outside the latest Additional Variables document's assigned variables and sources.</x:v>
      </x:c>
      <x:c r="K220" s="20" t="str">
        <x:v>Used for the repository's Version A mortgage-finance benchmark: California-calibrated first-mortgage debt divided by aggregate household income for all owner-occupied housing units. This is earlier/repository scope, not authority from the latest Additional Variables document.</x:v>
      </x:c>
      <x:c r="L220" s="20" t="str">
        <x:v>2024 ACS five-year benchmark: 0/1 California county rows non-null; all rows are schema-only because calibration inputs are unresolved.</x:v>
      </x:c>
      <x:c r="M220" s="20" t="str">
        <x:v>Obtain a compatible official control or approve a documented compatible-universe calibration rule; no ordinary API key resolves this.</x:v>
      </x:c>
      <x:c r="N220" s="20" t="str">
        <x:v>The latest document's source-scoped sections 3-9 do not define the Version A finance benchmark.</x:v>
      </x:c>
    </x:row>
    <x:row r="221" ht="82" customHeight="1">
      <x:c r="A221" s="21" t="n">
        <x:v>217</x:v>
      </x:c>
      <x:c r="B221" s="21" t="str">
        <x:v>Version A</x:v>
      </x:c>
      <x:c r="C221" s="21" t="str">
        <x:v>acs_implied_owner_occupied_home_equity_mortgaged_benchmark</x:v>
      </x:c>
      <x:c r="D221" s="21" t="str">
        <x:v>Implied mortgaged-owner home equity benchmark</x:v>
      </x:c>
      <x:c r="E221" s="33" t="str">
        <x:v>Schema only</x:v>
      </x:c>
      <x:c r="F221" s="25" t="str">
        <x:v>Partial</x:v>
      </x:c>
      <x:c r="G221" s="21" t="str">
        <x:v>census_acs5_finance | census_acs5_pums_housing_ca | census_acs_5year_b25003 | census_acs_5year_b25077 | census_acs_5year_b25081 | census_acs_5year_b25106 | census_tract_to_puma_2020 | freddie_mac_pmms (U.S. Census Bureau/FHFA)</x:v>
      </x:c>
      <x:c r="H221" s="21" t="str">
        <x:v>U.S. Census Bureau/FHFA</x:v>
      </x:c>
      <x:c r="I221" s="33" t="str">
        <x:v>No</x:v>
      </x:c>
      <x:c r="J221" s="21" t="str">
        <x:v>None for this variable in the latest document. Version A ACS/PUMS/PMMS/FHFA/BLS finance construction is outside the latest Additional Variables document's assigned variables and sources.</x:v>
      </x:c>
      <x:c r="K221" s="21" t="str">
        <x:v>Used for the repository's Version A mortgage-finance benchmark: Published mortgaged-owner aggregate home value less California-calibrated first-mortgage debt. This is earlier/repository scope, not authority from the latest Additional Variables document.</x:v>
      </x:c>
      <x:c r="L221" s="21" t="str">
        <x:v>2024 ACS five-year benchmark: 0/1 California county rows non-null; all rows are schema-only because calibration inputs are unresolved.</x:v>
      </x:c>
      <x:c r="M221" s="21" t="str">
        <x:v>Obtain a compatible official control or approve a documented compatible-universe calibration rule; no ordinary API key resolves this.</x:v>
      </x:c>
      <x:c r="N221" s="21" t="str">
        <x:v>The latest document's source-scoped sections 3-9 do not define the Version A finance benchmark.</x:v>
      </x:c>
    </x:row>
    <x:row r="222" ht="82" customHeight="1">
      <x:c r="A222" s="20" t="n">
        <x:v>218</x:v>
      </x:c>
      <x:c r="B222" s="20" t="str">
        <x:v>Version A</x:v>
      </x:c>
      <x:c r="C222" s="20" t="str">
        <x:v>acs_implied_owner_occupied_home_equity_all_benchmark</x:v>
      </x:c>
      <x:c r="D222" s="20" t="str">
        <x:v>Implied all-owner home equity benchmark</x:v>
      </x:c>
      <x:c r="E222" s="33" t="str">
        <x:v>Schema only</x:v>
      </x:c>
      <x:c r="F222" s="25" t="str">
        <x:v>Partial</x:v>
      </x:c>
      <x:c r="G222" s="20" t="str">
        <x:v>census_acs5_finance | census_acs5_pums_housing_ca | census_acs_5year_b25003 | census_acs_5year_b25077 | census_acs_5year_b25081 | census_acs_5year_b25106 | census_tract_to_puma_2020 | freddie_mac_pmms (U.S. Census Bureau/FHFA)</x:v>
      </x:c>
      <x:c r="H222" s="20" t="str">
        <x:v>U.S. Census Bureau/FHFA</x:v>
      </x:c>
      <x:c r="I222" s="33" t="str">
        <x:v>No</x:v>
      </x:c>
      <x:c r="J222" s="20" t="str">
        <x:v>None for this variable in the latest document. Version A ACS/PUMS/PMMS/FHFA/BLS finance construction is outside the latest Additional Variables document's assigned variables and sources.</x:v>
      </x:c>
      <x:c r="K222" s="20" t="str">
        <x:v>Used for the repository's Version A mortgage-finance benchmark: Mortgaged-owner equity plus published value of mortgage-free owner housing. This is earlier/repository scope, not authority from the latest Additional Variables document.</x:v>
      </x:c>
      <x:c r="L222" s="20" t="str">
        <x:v>2024 ACS five-year benchmark: 0/1 California county rows non-null; all rows are schema-only because calibration inputs are unresolved.</x:v>
      </x:c>
      <x:c r="M222" s="20" t="str">
        <x:v>Obtain a compatible official control or approve a documented compatible-universe calibration rule; no ordinary API key resolves this.</x:v>
      </x:c>
      <x:c r="N222" s="20" t="str">
        <x:v>The latest document's source-scoped sections 3-9 do not define the Version A finance benchmark.</x:v>
      </x:c>
    </x:row>
    <x:row r="223" ht="82" customHeight="1">
      <x:c r="A223" s="21" t="n">
        <x:v>219</x:v>
      </x:c>
      <x:c r="B223" s="21" t="str">
        <x:v>Version A</x:v>
      </x:c>
      <x:c r="C223" s="21" t="str">
        <x:v>acs_implied_owner_occupied_home_equity_per_owner_unit_benchmark</x:v>
      </x:c>
      <x:c r="D223" s="21" t="str">
        <x:v>Implied home equity per owner unit benchmark</x:v>
      </x:c>
      <x:c r="E223" s="33" t="str">
        <x:v>Schema only</x:v>
      </x:c>
      <x:c r="F223" s="25" t="str">
        <x:v>Partial</x:v>
      </x:c>
      <x:c r="G223" s="21" t="str">
        <x:v>census_acs5_finance | census_acs5_pums_housing_ca | census_acs_5year_b25003 | census_acs_5year_b25077 | census_acs_5year_b25081 | census_acs_5year_b25106 | census_tract_to_puma_2020 | freddie_mac_pmms (U.S. Census Bureau/FHFA)</x:v>
      </x:c>
      <x:c r="H223" s="21" t="str">
        <x:v>U.S. Census Bureau/FHFA</x:v>
      </x:c>
      <x:c r="I223" s="33" t="str">
        <x:v>No</x:v>
      </x:c>
      <x:c r="J223" s="21" t="str">
        <x:v>None for this variable in the latest document. Version A ACS/PUMS/PMMS/FHFA/BLS finance construction is outside the latest Additional Variables document's assigned variables and sources.</x:v>
      </x:c>
      <x:c r="K223" s="21" t="str">
        <x:v>Used for the repository's Version A mortgage-finance benchmark: All-owner aggregate home equity divided by directly published owner-occupied housing units. This is earlier/repository scope, not authority from the latest Additional Variables document.</x:v>
      </x:c>
      <x:c r="L223" s="21" t="str">
        <x:v>2024 ACS five-year benchmark: 0/1 California county rows non-null; all rows are schema-only because calibration inputs are unresolved.</x:v>
      </x:c>
      <x:c r="M223" s="21" t="str">
        <x:v>Obtain a compatible official control or approve a documented compatible-universe calibration rule; no ordinary API key resolves this.</x:v>
      </x:c>
      <x:c r="N223" s="21" t="str">
        <x:v>The latest document's source-scoped sections 3-9 do not define the Version A finance benchmark.</x:v>
      </x:c>
    </x:row>
    <x:row r="224" ht="82" customHeight="1">
      <x:c r="A224" s="20" t="n">
        <x:v>220</x:v>
      </x:c>
      <x:c r="B224" s="20" t="str">
        <x:v>Version A</x:v>
      </x:c>
      <x:c r="C224" s="20" t="str">
        <x:v>acs_implied_owner_occupied_home_equity_mortgaged_real_2024_benchmark</x:v>
      </x:c>
      <x:c r="D224" s="20" t="str">
        <x:v>Implied mortgaged-owner home equity in constant 2024 dollars benchmark</x:v>
      </x:c>
      <x:c r="E224" s="33" t="str">
        <x:v>Schema only</x:v>
      </x:c>
      <x:c r="F224" s="25" t="str">
        <x:v>Partial</x:v>
      </x:c>
      <x:c r="G224" s="20"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224" s="20" t="str">
        <x:v>U.S. Census Bureau/FHFA/U.S. Bureau of Labor Statistics</x:v>
      </x:c>
      <x:c r="I224" s="33" t="str">
        <x:v>No</x:v>
      </x:c>
      <x:c r="J224" s="20" t="str">
        <x:v>None for this variable in the latest document. Version A ACS/PUMS/PMMS/FHFA/BLS finance construction is outside the latest Additional Variables document's assigned variables and sources.</x:v>
      </x:c>
      <x:c r="K224" s="20" t="str">
        <x:v>Used for the repository's Version A mortgage-finance benchmark: Nominal matched-universe mortgaged-owner equity converted to constant 2024 dollars with published BLS CPI-U annual averages. This is earlier/repository scope, not authority from the latest Additional Variables document.</x:v>
      </x:c>
      <x:c r="L224" s="20" t="str">
        <x:v>2024 ACS five-year benchmark: 0/1 California county rows non-null; all rows are schema-only because calibration inputs are unresolved.</x:v>
      </x:c>
      <x:c r="M224" s="20" t="str">
        <x:v>Obtain a compatible official control or approve a documented compatible-universe calibration rule; no ordinary API key resolves this.</x:v>
      </x:c>
      <x:c r="N224" s="20" t="str">
        <x:v>The latest document's source-scoped sections 3-9 do not define the Version A finance benchmark.</x:v>
      </x:c>
    </x:row>
    <x:row r="225" ht="82" customHeight="1">
      <x:c r="A225" s="21" t="n">
        <x:v>221</x:v>
      </x:c>
      <x:c r="B225" s="21" t="str">
        <x:v>Version A</x:v>
      </x:c>
      <x:c r="C225" s="21" t="str">
        <x:v>acs_implied_owner_occupied_home_equity_all_real_2024_benchmark</x:v>
      </x:c>
      <x:c r="D225" s="21" t="str">
        <x:v>Implied all-owner home equity in constant 2024 dollars benchmark</x:v>
      </x:c>
      <x:c r="E225" s="33" t="str">
        <x:v>Schema only</x:v>
      </x:c>
      <x:c r="F225" s="25" t="str">
        <x:v>Partial</x:v>
      </x:c>
      <x:c r="G225" s="21"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225" s="21" t="str">
        <x:v>U.S. Census Bureau/FHFA/U.S. Bureau of Labor Statistics</x:v>
      </x:c>
      <x:c r="I225" s="33" t="str">
        <x:v>No</x:v>
      </x:c>
      <x:c r="J225" s="21" t="str">
        <x:v>None for this variable in the latest document. Version A ACS/PUMS/PMMS/FHFA/BLS finance construction is outside the latest Additional Variables document's assigned variables and sources.</x:v>
      </x:c>
      <x:c r="K225" s="21" t="str">
        <x:v>Used for the repository's Version A mortgage-finance benchmark: Nominal matched-universe all-owner equity converted to constant 2024 dollars with published BLS CPI-U annual averages. This is earlier/repository scope, not authority from the latest Additional Variables document.</x:v>
      </x:c>
      <x:c r="L225" s="21" t="str">
        <x:v>2024 ACS five-year benchmark: 0/1 California county rows non-null; all rows are schema-only because calibration inputs are unresolved.</x:v>
      </x:c>
      <x:c r="M225" s="21" t="str">
        <x:v>Obtain a compatible official control or approve a documented compatible-universe calibration rule; no ordinary API key resolves this.</x:v>
      </x:c>
      <x:c r="N225" s="21" t="str">
        <x:v>The latest document's source-scoped sections 3-9 do not define the Version A finance benchmark.</x:v>
      </x:c>
    </x:row>
    <x:row r="226" ht="82" customHeight="1">
      <x:c r="A226" s="20" t="n">
        <x:v>222</x:v>
      </x:c>
      <x:c r="B226" s="20" t="str">
        <x:v>Version A</x:v>
      </x:c>
      <x:c r="C226" s="20" t="str">
        <x:v>acs_aggregate_ltv_mortgaged_benchmark</x:v>
      </x:c>
      <x:c r="D226" s="20" t="str">
        <x:v>Aggregate mortgaged-owner LTV benchmark</x:v>
      </x:c>
      <x:c r="E226" s="33" t="str">
        <x:v>Schema only</x:v>
      </x:c>
      <x:c r="F226" s="25" t="str">
        <x:v>Partial</x:v>
      </x:c>
      <x:c r="G226" s="20" t="str">
        <x:v>census_acs5_finance | census_acs5_pums_housing_ca | census_tract_to_puma_2020 | freddie_mac_pmms (U.S. Census Bureau/FHFA)</x:v>
      </x:c>
      <x:c r="H226" s="20" t="str">
        <x:v>U.S. Census Bureau/FHFA</x:v>
      </x:c>
      <x:c r="I226" s="33" t="str">
        <x:v>No</x:v>
      </x:c>
      <x:c r="J226" s="20" t="str">
        <x:v>None for this variable in the latest document. Version A ACS/PUMS/PMMS/FHFA/BLS finance construction is outside the latest Additional Variables document's assigned variables and sources.</x:v>
      </x:c>
      <x:c r="K226" s="20" t="str">
        <x:v>Used for the repository's Version A mortgage-finance benchmark: California-calibrated first-mortgage debt divided by published mortgaged-owner aggregate home value. This is earlier/repository scope, not authority from the latest Additional Variables document.</x:v>
      </x:c>
      <x:c r="L226" s="20" t="str">
        <x:v>2024 ACS five-year benchmark: 0/1 California county rows non-null; all rows are schema-only because calibration inputs are unresolved.</x:v>
      </x:c>
      <x:c r="M226" s="20" t="str">
        <x:v>Obtain a compatible official control or approve a documented compatible-universe calibration rule; no ordinary API key resolves this.</x:v>
      </x:c>
      <x:c r="N226" s="20" t="str">
        <x:v>The latest document's source-scoped sections 3-9 do not define the Version A finance benchmark.</x:v>
      </x:c>
    </x:row>
    <x:row r="227" ht="82" customHeight="1">
      <x:c r="A227" s="21" t="n">
        <x:v>223</x:v>
      </x:c>
      <x:c r="B227" s="21" t="str">
        <x:v>Version A</x:v>
      </x:c>
      <x:c r="C227" s="21" t="str">
        <x:v>acs_equity_rate_mortgaged_benchmark</x:v>
      </x:c>
      <x:c r="D227" s="21" t="str">
        <x:v>Mortgaged-owner equity rate benchmark</x:v>
      </x:c>
      <x:c r="E227" s="33" t="str">
        <x:v>Schema only</x:v>
      </x:c>
      <x:c r="F227" s="25" t="str">
        <x:v>Partial</x:v>
      </x:c>
      <x:c r="G227" s="21" t="str">
        <x:v>census_acs5_finance | census_acs5_pums_housing_ca | census_tract_to_puma_2020 | freddie_mac_pmms (U.S. Census Bureau/FHFA)</x:v>
      </x:c>
      <x:c r="H227" s="21" t="str">
        <x:v>U.S. Census Bureau/FHFA</x:v>
      </x:c>
      <x:c r="I227" s="33" t="str">
        <x:v>No</x:v>
      </x:c>
      <x:c r="J227" s="21" t="str">
        <x:v>None for this variable in the latest document. Version A ACS/PUMS/PMMS/FHFA/BLS finance construction is outside the latest Additional Variables document's assigned variables and sources.</x:v>
      </x:c>
      <x:c r="K227" s="21" t="str">
        <x:v>Used for the repository's Version A mortgage-finance benchmark: One minus aggregate mortgaged-owner LTV. This is earlier/repository scope, not authority from the latest Additional Variables document.</x:v>
      </x:c>
      <x:c r="L227" s="21" t="str">
        <x:v>2024 ACS five-year benchmark: 0/1 California county rows non-null; all rows are schema-only because calibration inputs are unresolved.</x:v>
      </x:c>
      <x:c r="M227" s="21" t="str">
        <x:v>Obtain a compatible official control or approve a documented compatible-universe calibration rule; no ordinary API key resolves this.</x:v>
      </x:c>
      <x:c r="N227" s="21" t="str">
        <x:v>The latest document's source-scoped sections 3-9 do not define the Version A finance benchmark.</x:v>
      </x:c>
    </x:row>
    <x:row r="228" ht="82" customHeight="1">
      <x:c r="A228" s="20" t="n">
        <x:v>224</x:v>
      </x:c>
      <x:c r="B228" s="20" t="str">
        <x:v>Version A</x:v>
      </x:c>
      <x:c r="C228" s="20" t="str">
        <x:v>hmda_median_downpayment_rate_benchmark</x:v>
      </x:c>
      <x:c r="D228" s="20" t="str">
        <x:v>HMDA median down-payment rate benchmark</x:v>
      </x:c>
      <x:c r="E228" s="29" t="str">
        <x:v>Have</x:v>
      </x:c>
      <x:c r="F228" s="29" t="str">
        <x:v>Have</x:v>
      </x:c>
      <x:c r="G228" s="20" t="str">
        <x:v>cfpb_hmda_modified_lar (CFPB and FFIEC)</x:v>
      </x:c>
      <x:c r="H228" s="20" t="str">
        <x:v>CFPB and FFIEC</x:v>
      </x:c>
      <x:c r="I228" s="33" t="str">
        <x:v>No</x:v>
      </x:c>
      <x:c r="J228" s="20" t="str">
        <x:v>None for this variable in the latest document. HMDA/Modified LAR is absent from the complete latest document. This is a repository-only Version A addition.</x:v>
      </x:c>
      <x:c r="K228" s="20" t="str">
        <x:v>Used only for 2025 county mortgage-origination down-payment benchmarks (overall/conventional/FHA/VA). It is not used by a latest-document construction and cannot count as latest-document compliant.</x:v>
      </x:c>
      <x:c r="L228" s="20" t="str">
        <x:v>2025 California counties: 1/1 non-null; 0 county rows suppressed by the N=50 overall or N=100 loan-type minimum. Los Angeles County is non-null.</x:v>
      </x:c>
      <x:c r="M228" s="20" t="str">
        <x:v>None beyond the source-specific refresh workflow.</x:v>
      </x:c>
      <x:c r="N228" s="20" t="str">
        <x:v>Whole-document search: zero HMDA, Modified LAR, Loan/Application Register, or Home Mortgage Disclosure Act mentions.</x:v>
      </x:c>
    </x:row>
    <x:row r="229" ht="82" customHeight="1">
      <x:c r="A229" s="21" t="n">
        <x:v>225</x:v>
      </x:c>
      <x:c r="B229" s="21" t="str">
        <x:v>Version A</x:v>
      </x:c>
      <x:c r="C229" s="21" t="str">
        <x:v>hmda_property_value_weighted_downpayment_rate_benchmark</x:v>
      </x:c>
      <x:c r="D229" s="21" t="str">
        <x:v>HMDA property-value-weighted down-payment rate benchmark</x:v>
      </x:c>
      <x:c r="E229" s="29" t="str">
        <x:v>Have</x:v>
      </x:c>
      <x:c r="F229" s="29" t="str">
        <x:v>Have</x:v>
      </x:c>
      <x:c r="G229" s="21" t="str">
        <x:v>cfpb_hmda_modified_lar (CFPB and FFIEC)</x:v>
      </x:c>
      <x:c r="H229" s="21" t="str">
        <x:v>CFPB and FFIEC</x:v>
      </x:c>
      <x:c r="I229" s="33" t="str">
        <x:v>No</x:v>
      </x:c>
      <x:c r="J229" s="21" t="str">
        <x:v>None for this variable in the latest document. HMDA/Modified LAR is absent from the complete latest document. This is a repository-only Version A addition.</x:v>
      </x:c>
      <x:c r="K229" s="21" t="str">
        <x:v>Used only for 2025 county mortgage-origination down-payment benchmarks (overall/conventional/FHA/VA). It is not used by a latest-document construction and cannot count as latest-document compliant.</x:v>
      </x:c>
      <x:c r="L229" s="21" t="str">
        <x:v>2025 California counties: 1/1 non-null; 0 county rows suppressed by the N=50 overall or N=100 loan-type minimum. Los Angeles County is non-null.</x:v>
      </x:c>
      <x:c r="M229" s="21" t="str">
        <x:v>None beyond the source-specific refresh workflow.</x:v>
      </x:c>
      <x:c r="N229" s="21" t="str">
        <x:v>Whole-document search: zero HMDA, Modified LAR, Loan/Application Register, or Home Mortgage Disclosure Act mentions.</x:v>
      </x:c>
    </x:row>
    <x:row r="230" ht="82" customHeight="1">
      <x:c r="A230" s="20" t="n">
        <x:v>226</x:v>
      </x:c>
      <x:c r="B230" s="20" t="str">
        <x:v>Version A</x:v>
      </x:c>
      <x:c r="C230" s="20" t="str">
        <x:v>hmda_aggregate_downpayment_flow_benchmark</x:v>
      </x:c>
      <x:c r="D230" s="20" t="str">
        <x:v>HMDA aggregate down-payment flow benchmark</x:v>
      </x:c>
      <x:c r="E230" s="29" t="str">
        <x:v>Have</x:v>
      </x:c>
      <x:c r="F230" s="29" t="str">
        <x:v>Have</x:v>
      </x:c>
      <x:c r="G230" s="20" t="str">
        <x:v>cfpb_hmda_modified_lar (CFPB and FFIEC)</x:v>
      </x:c>
      <x:c r="H230" s="20" t="str">
        <x:v>CFPB and FFIEC</x:v>
      </x:c>
      <x:c r="I230" s="33" t="str">
        <x:v>No</x:v>
      </x:c>
      <x:c r="J230" s="20" t="str">
        <x:v>None for this variable in the latest document. HMDA/Modified LAR is absent from the complete latest document. This is a repository-only Version A addition.</x:v>
      </x:c>
      <x:c r="K230" s="20" t="str">
        <x:v>Used only for 2025 county mortgage-origination down-payment benchmarks (overall/conventional/FHA/VA). It is not used by a latest-document construction and cannot count as latest-document compliant.</x:v>
      </x:c>
      <x:c r="L230" s="20" t="str">
        <x:v>2025 California counties: 1/1 non-null; 0 county rows suppressed by the N=50 overall or N=100 loan-type minimum. Los Angeles County is non-null.</x:v>
      </x:c>
      <x:c r="M230" s="20" t="str">
        <x:v>None beyond the source-specific refresh workflow.</x:v>
      </x:c>
      <x:c r="N230" s="20" t="str">
        <x:v>Whole-document search: zero HMDA, Modified LAR, Loan/Application Register, or Home Mortgage Disclosure Act mentions.</x:v>
      </x:c>
    </x:row>
    <x:row r="231" ht="82" customHeight="1">
      <x:c r="A231" s="21" t="n">
        <x:v>227</x:v>
      </x:c>
      <x:c r="B231" s="21" t="str">
        <x:v>Version A</x:v>
      </x:c>
      <x:c r="C231" s="21" t="str">
        <x:v>hmda_share_downpayment_below_3pct_benchmark</x:v>
      </x:c>
      <x:c r="D231" s="21" t="str">
        <x:v>HMDA share below 3% down benchmark</x:v>
      </x:c>
      <x:c r="E231" s="29" t="str">
        <x:v>Have</x:v>
      </x:c>
      <x:c r="F231" s="29" t="str">
        <x:v>Have</x:v>
      </x:c>
      <x:c r="G231" s="21" t="str">
        <x:v>cfpb_hmda_modified_lar (CFPB and FFIEC)</x:v>
      </x:c>
      <x:c r="H231" s="21" t="str">
        <x:v>CFPB and FFIEC</x:v>
      </x:c>
      <x:c r="I231" s="33" t="str">
        <x:v>No</x:v>
      </x:c>
      <x:c r="J231" s="21" t="str">
        <x:v>None for this variable in the latest document. HMDA/Modified LAR is absent from the complete latest document. This is a repository-only Version A addition.</x:v>
      </x:c>
      <x:c r="K231" s="21" t="str">
        <x:v>Used only for 2025 county mortgage-origination down-payment benchmarks (overall/conventional/FHA/VA). It is not used by a latest-document construction and cannot count as latest-document compliant.</x:v>
      </x:c>
      <x:c r="L231" s="21" t="str">
        <x:v>2025 California counties: 1/1 non-null; 0 county rows suppressed by the N=50 overall or N=100 loan-type minimum. Los Angeles County is non-null.</x:v>
      </x:c>
      <x:c r="M231" s="21" t="str">
        <x:v>None beyond the source-specific refresh workflow.</x:v>
      </x:c>
      <x:c r="N231" s="21" t="str">
        <x:v>Whole-document search: zero HMDA, Modified LAR, Loan/Application Register, or Home Mortgage Disclosure Act mentions.</x:v>
      </x:c>
    </x:row>
    <x:row r="232" ht="82" customHeight="1">
      <x:c r="A232" s="20" t="n">
        <x:v>228</x:v>
      </x:c>
      <x:c r="B232" s="20" t="str">
        <x:v>Version A</x:v>
      </x:c>
      <x:c r="C232" s="20" t="str">
        <x:v>hmda_share_downpayment_below_5pct_benchmark</x:v>
      </x:c>
      <x:c r="D232" s="20" t="str">
        <x:v>HMDA share below 5% down benchmark</x:v>
      </x:c>
      <x:c r="E232" s="29" t="str">
        <x:v>Have</x:v>
      </x:c>
      <x:c r="F232" s="29" t="str">
        <x:v>Have</x:v>
      </x:c>
      <x:c r="G232" s="20" t="str">
        <x:v>cfpb_hmda_modified_lar (CFPB and FFIEC)</x:v>
      </x:c>
      <x:c r="H232" s="20" t="str">
        <x:v>CFPB and FFIEC</x:v>
      </x:c>
      <x:c r="I232" s="33" t="str">
        <x:v>No</x:v>
      </x:c>
      <x:c r="J232" s="20" t="str">
        <x:v>None for this variable in the latest document. HMDA/Modified LAR is absent from the complete latest document. This is a repository-only Version A addition.</x:v>
      </x:c>
      <x:c r="K232" s="20" t="str">
        <x:v>Used only for 2025 county mortgage-origination down-payment benchmarks (overall/conventional/FHA/VA). It is not used by a latest-document construction and cannot count as latest-document compliant.</x:v>
      </x:c>
      <x:c r="L232" s="20" t="str">
        <x:v>2025 California counties: 1/1 non-null; 0 county rows suppressed by the N=50 overall or N=100 loan-type minimum. Los Angeles County is non-null.</x:v>
      </x:c>
      <x:c r="M232" s="20" t="str">
        <x:v>None beyond the source-specific refresh workflow.</x:v>
      </x:c>
      <x:c r="N232" s="20" t="str">
        <x:v>Whole-document search: zero HMDA, Modified LAR, Loan/Application Register, or Home Mortgage Disclosure Act mentions.</x:v>
      </x:c>
    </x:row>
    <x:row r="233" ht="82" customHeight="1">
      <x:c r="A233" s="21" t="n">
        <x:v>229</x:v>
      </x:c>
      <x:c r="B233" s="21" t="str">
        <x:v>Version A</x:v>
      </x:c>
      <x:c r="C233" s="21" t="str">
        <x:v>hmda_share_downpayment_below_10pct_benchmark</x:v>
      </x:c>
      <x:c r="D233" s="21" t="str">
        <x:v>HMDA share below 10% down benchmark</x:v>
      </x:c>
      <x:c r="E233" s="29" t="str">
        <x:v>Have</x:v>
      </x:c>
      <x:c r="F233" s="29" t="str">
        <x:v>Have</x:v>
      </x:c>
      <x:c r="G233" s="21" t="str">
        <x:v>cfpb_hmda_modified_lar (CFPB and FFIEC)</x:v>
      </x:c>
      <x:c r="H233" s="21" t="str">
        <x:v>CFPB and FFIEC</x:v>
      </x:c>
      <x:c r="I233" s="33" t="str">
        <x:v>No</x:v>
      </x:c>
      <x:c r="J233" s="21" t="str">
        <x:v>None for this variable in the latest document. HMDA/Modified LAR is absent from the complete latest document. This is a repository-only Version A addition.</x:v>
      </x:c>
      <x:c r="K233" s="21" t="str">
        <x:v>Used only for 2025 county mortgage-origination down-payment benchmarks (overall/conventional/FHA/VA). It is not used by a latest-document construction and cannot count as latest-document compliant.</x:v>
      </x:c>
      <x:c r="L233" s="21" t="str">
        <x:v>2025 California counties: 1/1 non-null; 0 county rows suppressed by the N=50 overall or N=100 loan-type minimum. Los Angeles County is non-null.</x:v>
      </x:c>
      <x:c r="M233" s="21" t="str">
        <x:v>None beyond the source-specific refresh workflow.</x:v>
      </x:c>
      <x:c r="N233" s="21" t="str">
        <x:v>Whole-document search: zero HMDA, Modified LAR, Loan/Application Register, or Home Mortgage Disclosure Act mentions.</x:v>
      </x:c>
    </x:row>
    <x:row r="234" ht="82" customHeight="1">
      <x:c r="A234" s="20" t="n">
        <x:v>230</x:v>
      </x:c>
      <x:c r="B234" s="20" t="str">
        <x:v>Version A</x:v>
      </x:c>
      <x:c r="C234" s="20" t="str">
        <x:v>hmda_share_downpayment_below_20pct_benchmark</x:v>
      </x:c>
      <x:c r="D234" s="20" t="str">
        <x:v>HMDA share below 20% down benchmark</x:v>
      </x:c>
      <x:c r="E234" s="29" t="str">
        <x:v>Have</x:v>
      </x:c>
      <x:c r="F234" s="29" t="str">
        <x:v>Have</x:v>
      </x:c>
      <x:c r="G234" s="20" t="str">
        <x:v>cfpb_hmda_modified_lar (CFPB and FFIEC)</x:v>
      </x:c>
      <x:c r="H234" s="20" t="str">
        <x:v>CFPB and FFIEC</x:v>
      </x:c>
      <x:c r="I234" s="33" t="str">
        <x:v>No</x:v>
      </x:c>
      <x:c r="J234" s="20" t="str">
        <x:v>None for this variable in the latest document. HMDA/Modified LAR is absent from the complete latest document. This is a repository-only Version A addition.</x:v>
      </x:c>
      <x:c r="K234" s="20" t="str">
        <x:v>Used only for 2025 county mortgage-origination down-payment benchmarks (overall/conventional/FHA/VA). It is not used by a latest-document construction and cannot count as latest-document compliant.</x:v>
      </x:c>
      <x:c r="L234" s="20" t="str">
        <x:v>2025 California counties: 1/1 non-null; 0 county rows suppressed by the N=50 overall or N=100 loan-type minimum. Los Angeles County is non-null.</x:v>
      </x:c>
      <x:c r="M234" s="20" t="str">
        <x:v>None beyond the source-specific refresh workflow.</x:v>
      </x:c>
      <x:c r="N234" s="20" t="str">
        <x:v>Whole-document search: zero HMDA, Modified LAR, Loan/Application Register, or Home Mortgage Disclosure Act mentions.</x:v>
      </x:c>
    </x:row>
    <x:row r="235" ht="82" customHeight="1">
      <x:c r="A235" s="21" t="n">
        <x:v>231</x:v>
      </x:c>
      <x:c r="B235" s="21" t="str">
        <x:v>Version A</x:v>
      </x:c>
      <x:c r="C235" s="21" t="str">
        <x:v>hmda_median_downpayment_rate_conventional_benchmark</x:v>
      </x:c>
      <x:c r="D235" s="21" t="str">
        <x:v>HMDA median down-payment rate - conventional benchmark</x:v>
      </x:c>
      <x:c r="E235" s="29" t="str">
        <x:v>Have</x:v>
      </x:c>
      <x:c r="F235" s="29" t="str">
        <x:v>Have</x:v>
      </x:c>
      <x:c r="G235" s="21" t="str">
        <x:v>cfpb_hmda_modified_lar (CFPB and FFIEC)</x:v>
      </x:c>
      <x:c r="H235" s="21" t="str">
        <x:v>CFPB and FFIEC</x:v>
      </x:c>
      <x:c r="I235" s="33" t="str">
        <x:v>No</x:v>
      </x:c>
      <x:c r="J235" s="21" t="str">
        <x:v>None for this variable in the latest document. HMDA/Modified LAR is absent from the complete latest document. This is a repository-only Version A addition.</x:v>
      </x:c>
      <x:c r="K235" s="21" t="str">
        <x:v>Used only for 2025 county mortgage-origination down-payment benchmarks (overall/conventional/FHA/VA). It is not used by a latest-document construction and cannot count as latest-document compliant.</x:v>
      </x:c>
      <x:c r="L235" s="21" t="str">
        <x:v>2025 California counties: 1/1 non-null; 0 county rows suppressed by the N=50 overall or N=100 loan-type minimum. Los Angeles County is non-null.</x:v>
      </x:c>
      <x:c r="M235" s="21" t="str">
        <x:v>None beyond the source-specific refresh workflow.</x:v>
      </x:c>
      <x:c r="N235" s="21" t="str">
        <x:v>Whole-document search: zero HMDA, Modified LAR, Loan/Application Register, or Home Mortgage Disclosure Act mentions.</x:v>
      </x:c>
    </x:row>
    <x:row r="236" ht="82" customHeight="1">
      <x:c r="A236" s="20" t="n">
        <x:v>232</x:v>
      </x:c>
      <x:c r="B236" s="20" t="str">
        <x:v>Version A</x:v>
      </x:c>
      <x:c r="C236" s="20" t="str">
        <x:v>hmda_property_value_weighted_downpayment_rate_conventional_benchmark</x:v>
      </x:c>
      <x:c r="D236" s="20" t="str">
        <x:v>HMDA property-value-weighted down-payment rate - conventional benchmark</x:v>
      </x:c>
      <x:c r="E236" s="29" t="str">
        <x:v>Have</x:v>
      </x:c>
      <x:c r="F236" s="29" t="str">
        <x:v>Have</x:v>
      </x:c>
      <x:c r="G236" s="20" t="str">
        <x:v>cfpb_hmda_modified_lar (CFPB and FFIEC)</x:v>
      </x:c>
      <x:c r="H236" s="20" t="str">
        <x:v>CFPB and FFIEC</x:v>
      </x:c>
      <x:c r="I236" s="33" t="str">
        <x:v>No</x:v>
      </x:c>
      <x:c r="J236" s="20" t="str">
        <x:v>None for this variable in the latest document. HMDA/Modified LAR is absent from the complete latest document. This is a repository-only Version A addition.</x:v>
      </x:c>
      <x:c r="K236" s="20" t="str">
        <x:v>Used only for 2025 county mortgage-origination down-payment benchmarks (overall/conventional/FHA/VA). It is not used by a latest-document construction and cannot count as latest-document compliant.</x:v>
      </x:c>
      <x:c r="L236" s="20" t="str">
        <x:v>2025 California counties: 1/1 non-null; 0 county rows suppressed by the N=50 overall or N=100 loan-type minimum. Los Angeles County is non-null.</x:v>
      </x:c>
      <x:c r="M236" s="20" t="str">
        <x:v>None beyond the source-specific refresh workflow.</x:v>
      </x:c>
      <x:c r="N236" s="20" t="str">
        <x:v>Whole-document search: zero HMDA, Modified LAR, Loan/Application Register, or Home Mortgage Disclosure Act mentions.</x:v>
      </x:c>
    </x:row>
    <x:row r="237" ht="82" customHeight="1">
      <x:c r="A237" s="21" t="n">
        <x:v>233</x:v>
      </x:c>
      <x:c r="B237" s="21" t="str">
        <x:v>Version A</x:v>
      </x:c>
      <x:c r="C237" s="21" t="str">
        <x:v>hmda_aggregate_downpayment_flow_conventional_benchmark</x:v>
      </x:c>
      <x:c r="D237" s="21" t="str">
        <x:v>HMDA aggregate down-payment flow - conventional benchmark</x:v>
      </x:c>
      <x:c r="E237" s="29" t="str">
        <x:v>Have</x:v>
      </x:c>
      <x:c r="F237" s="29" t="str">
        <x:v>Have</x:v>
      </x:c>
      <x:c r="G237" s="21" t="str">
        <x:v>cfpb_hmda_modified_lar (CFPB and FFIEC)</x:v>
      </x:c>
      <x:c r="H237" s="21" t="str">
        <x:v>CFPB and FFIEC</x:v>
      </x:c>
      <x:c r="I237" s="33" t="str">
        <x:v>No</x:v>
      </x:c>
      <x:c r="J237" s="21" t="str">
        <x:v>None for this variable in the latest document. HMDA/Modified LAR is absent from the complete latest document. This is a repository-only Version A addition.</x:v>
      </x:c>
      <x:c r="K237" s="21" t="str">
        <x:v>Used only for 2025 county mortgage-origination down-payment benchmarks (overall/conventional/FHA/VA). It is not used by a latest-document construction and cannot count as latest-document compliant.</x:v>
      </x:c>
      <x:c r="L237" s="21" t="str">
        <x:v>2025 California counties: 1/1 non-null; 0 county rows suppressed by the N=50 overall or N=100 loan-type minimum. Los Angeles County is non-null.</x:v>
      </x:c>
      <x:c r="M237" s="21" t="str">
        <x:v>None beyond the source-specific refresh workflow.</x:v>
      </x:c>
      <x:c r="N237" s="21" t="str">
        <x:v>Whole-document search: zero HMDA, Modified LAR, Loan/Application Register, or Home Mortgage Disclosure Act mentions.</x:v>
      </x:c>
    </x:row>
    <x:row r="238" ht="82" customHeight="1">
      <x:c r="A238" s="20" t="n">
        <x:v>234</x:v>
      </x:c>
      <x:c r="B238" s="20" t="str">
        <x:v>Version A</x:v>
      </x:c>
      <x:c r="C238" s="20" t="str">
        <x:v>hmda_share_downpayment_below_3pct_conventional_benchmark</x:v>
      </x:c>
      <x:c r="D238" s="20" t="str">
        <x:v>HMDA conventional share below 3% down benchmark</x:v>
      </x:c>
      <x:c r="E238" s="29" t="str">
        <x:v>Have</x:v>
      </x:c>
      <x:c r="F238" s="29" t="str">
        <x:v>Have</x:v>
      </x:c>
      <x:c r="G238" s="20" t="str">
        <x:v>cfpb_hmda_modified_lar (CFPB and FFIEC)</x:v>
      </x:c>
      <x:c r="H238" s="20" t="str">
        <x:v>CFPB and FFIEC</x:v>
      </x:c>
      <x:c r="I238" s="33" t="str">
        <x:v>No</x:v>
      </x:c>
      <x:c r="J238" s="20" t="str">
        <x:v>None for this variable in the latest document. HMDA/Modified LAR is absent from the complete latest document. This is a repository-only Version A addition.</x:v>
      </x:c>
      <x:c r="K238" s="20" t="str">
        <x:v>Used only for 2025 county mortgage-origination down-payment benchmarks (overall/conventional/FHA/VA). It is not used by a latest-document construction and cannot count as latest-document compliant.</x:v>
      </x:c>
      <x:c r="L238" s="20" t="str">
        <x:v>2025 California counties: 1/1 non-null; 0 county rows suppressed by the N=50 overall or N=100 loan-type minimum. Los Angeles County is non-null.</x:v>
      </x:c>
      <x:c r="M238" s="20" t="str">
        <x:v>None beyond the source-specific refresh workflow.</x:v>
      </x:c>
      <x:c r="N238" s="20" t="str">
        <x:v>Whole-document search: zero HMDA, Modified LAR, Loan/Application Register, or Home Mortgage Disclosure Act mentions.</x:v>
      </x:c>
    </x:row>
    <x:row r="239" ht="82" customHeight="1">
      <x:c r="A239" s="21" t="n">
        <x:v>235</x:v>
      </x:c>
      <x:c r="B239" s="21" t="str">
        <x:v>Version A</x:v>
      </x:c>
      <x:c r="C239" s="21" t="str">
        <x:v>hmda_share_downpayment_below_5pct_conventional_benchmark</x:v>
      </x:c>
      <x:c r="D239" s="21" t="str">
        <x:v>HMDA conventional share below 5% down benchmark</x:v>
      </x:c>
      <x:c r="E239" s="29" t="str">
        <x:v>Have</x:v>
      </x:c>
      <x:c r="F239" s="29" t="str">
        <x:v>Have</x:v>
      </x:c>
      <x:c r="G239" s="21" t="str">
        <x:v>cfpb_hmda_modified_lar (CFPB and FFIEC)</x:v>
      </x:c>
      <x:c r="H239" s="21" t="str">
        <x:v>CFPB and FFIEC</x:v>
      </x:c>
      <x:c r="I239" s="33" t="str">
        <x:v>No</x:v>
      </x:c>
      <x:c r="J239" s="21" t="str">
        <x:v>None for this variable in the latest document. HMDA/Modified LAR is absent from the complete latest document. This is a repository-only Version A addition.</x:v>
      </x:c>
      <x:c r="K239" s="21" t="str">
        <x:v>Used only for 2025 county mortgage-origination down-payment benchmarks (overall/conventional/FHA/VA). It is not used by a latest-document construction and cannot count as latest-document compliant.</x:v>
      </x:c>
      <x:c r="L239" s="21" t="str">
        <x:v>2025 California counties: 1/1 non-null; 0 county rows suppressed by the N=50 overall or N=100 loan-type minimum. Los Angeles County is non-null.</x:v>
      </x:c>
      <x:c r="M239" s="21" t="str">
        <x:v>None beyond the source-specific refresh workflow.</x:v>
      </x:c>
      <x:c r="N239" s="21" t="str">
        <x:v>Whole-document search: zero HMDA, Modified LAR, Loan/Application Register, or Home Mortgage Disclosure Act mentions.</x:v>
      </x:c>
    </x:row>
    <x:row r="240" ht="82" customHeight="1">
      <x:c r="A240" s="20" t="n">
        <x:v>236</x:v>
      </x:c>
      <x:c r="B240" s="20" t="str">
        <x:v>Version A</x:v>
      </x:c>
      <x:c r="C240" s="20" t="str">
        <x:v>hmda_share_downpayment_below_10pct_conventional_benchmark</x:v>
      </x:c>
      <x:c r="D240" s="20" t="str">
        <x:v>HMDA conventional share below 10% down benchmark</x:v>
      </x:c>
      <x:c r="E240" s="29" t="str">
        <x:v>Have</x:v>
      </x:c>
      <x:c r="F240" s="29" t="str">
        <x:v>Have</x:v>
      </x:c>
      <x:c r="G240" s="20" t="str">
        <x:v>cfpb_hmda_modified_lar (CFPB and FFIEC)</x:v>
      </x:c>
      <x:c r="H240" s="20" t="str">
        <x:v>CFPB and FFIEC</x:v>
      </x:c>
      <x:c r="I240" s="33" t="str">
        <x:v>No</x:v>
      </x:c>
      <x:c r="J240" s="20" t="str">
        <x:v>None for this variable in the latest document. HMDA/Modified LAR is absent from the complete latest document. This is a repository-only Version A addition.</x:v>
      </x:c>
      <x:c r="K240" s="20" t="str">
        <x:v>Used only for 2025 county mortgage-origination down-payment benchmarks (overall/conventional/FHA/VA). It is not used by a latest-document construction and cannot count as latest-document compliant.</x:v>
      </x:c>
      <x:c r="L240" s="20" t="str">
        <x:v>2025 California counties: 1/1 non-null; 0 county rows suppressed by the N=50 overall or N=100 loan-type minimum. Los Angeles County is non-null.</x:v>
      </x:c>
      <x:c r="M240" s="20" t="str">
        <x:v>None beyond the source-specific refresh workflow.</x:v>
      </x:c>
      <x:c r="N240" s="20" t="str">
        <x:v>Whole-document search: zero HMDA, Modified LAR, Loan/Application Register, or Home Mortgage Disclosure Act mentions.</x:v>
      </x:c>
    </x:row>
    <x:row r="241" ht="82" customHeight="1">
      <x:c r="A241" s="21" t="n">
        <x:v>237</x:v>
      </x:c>
      <x:c r="B241" s="21" t="str">
        <x:v>Version A</x:v>
      </x:c>
      <x:c r="C241" s="21" t="str">
        <x:v>hmda_share_downpayment_below_20pct_conventional_benchmark</x:v>
      </x:c>
      <x:c r="D241" s="21" t="str">
        <x:v>HMDA conventional share below 20% down benchmark</x:v>
      </x:c>
      <x:c r="E241" s="29" t="str">
        <x:v>Have</x:v>
      </x:c>
      <x:c r="F241" s="29" t="str">
        <x:v>Have</x:v>
      </x:c>
      <x:c r="G241" s="21" t="str">
        <x:v>cfpb_hmda_modified_lar (CFPB and FFIEC)</x:v>
      </x:c>
      <x:c r="H241" s="21" t="str">
        <x:v>CFPB and FFIEC</x:v>
      </x:c>
      <x:c r="I241" s="33" t="str">
        <x:v>No</x:v>
      </x:c>
      <x:c r="J241" s="21" t="str">
        <x:v>None for this variable in the latest document. HMDA/Modified LAR is absent from the complete latest document. This is a repository-only Version A addition.</x:v>
      </x:c>
      <x:c r="K241" s="21" t="str">
        <x:v>Used only for 2025 county mortgage-origination down-payment benchmarks (overall/conventional/FHA/VA). It is not used by a latest-document construction and cannot count as latest-document compliant.</x:v>
      </x:c>
      <x:c r="L241" s="21" t="str">
        <x:v>2025 California counties: 1/1 non-null; 0 county rows suppressed by the N=50 overall or N=100 loan-type minimum. Los Angeles County is non-null.</x:v>
      </x:c>
      <x:c r="M241" s="21" t="str">
        <x:v>None beyond the source-specific refresh workflow.</x:v>
      </x:c>
      <x:c r="N241" s="21" t="str">
        <x:v>Whole-document search: zero HMDA, Modified LAR, Loan/Application Register, or Home Mortgage Disclosure Act mentions.</x:v>
      </x:c>
    </x:row>
    <x:row r="242" ht="82" customHeight="1">
      <x:c r="A242" s="20" t="n">
        <x:v>238</x:v>
      </x:c>
      <x:c r="B242" s="20" t="str">
        <x:v>Version A</x:v>
      </x:c>
      <x:c r="C242" s="20" t="str">
        <x:v>hmda_median_downpayment_rate_fha_benchmark</x:v>
      </x:c>
      <x:c r="D242" s="20" t="str">
        <x:v>HMDA median down-payment rate - FHA benchmark</x:v>
      </x:c>
      <x:c r="E242" s="29" t="str">
        <x:v>Have</x:v>
      </x:c>
      <x:c r="F242" s="29" t="str">
        <x:v>Have</x:v>
      </x:c>
      <x:c r="G242" s="20" t="str">
        <x:v>cfpb_hmda_modified_lar (CFPB and FFIEC)</x:v>
      </x:c>
      <x:c r="H242" s="20" t="str">
        <x:v>CFPB and FFIEC</x:v>
      </x:c>
      <x:c r="I242" s="33" t="str">
        <x:v>No</x:v>
      </x:c>
      <x:c r="J242" s="20" t="str">
        <x:v>None for this variable in the latest document. HMDA/Modified LAR is absent from the complete latest document. This is a repository-only Version A addition.</x:v>
      </x:c>
      <x:c r="K242" s="20" t="str">
        <x:v>Used only for 2025 county mortgage-origination down-payment benchmarks (overall/conventional/FHA/VA). It is not used by a latest-document construction and cannot count as latest-document compliant.</x:v>
      </x:c>
      <x:c r="L242" s="20" t="str">
        <x:v>2025 California counties: 1/1 non-null; 0 county rows suppressed by the N=50 overall or N=100 loan-type minimum. Los Angeles County is non-null.</x:v>
      </x:c>
      <x:c r="M242" s="20" t="str">
        <x:v>None beyond the source-specific refresh workflow.</x:v>
      </x:c>
      <x:c r="N242" s="20" t="str">
        <x:v>Whole-document search: zero HMDA, Modified LAR, Loan/Application Register, or Home Mortgage Disclosure Act mentions.</x:v>
      </x:c>
    </x:row>
    <x:row r="243" ht="82" customHeight="1">
      <x:c r="A243" s="21" t="n">
        <x:v>239</x:v>
      </x:c>
      <x:c r="B243" s="21" t="str">
        <x:v>Version A</x:v>
      </x:c>
      <x:c r="C243" s="21" t="str">
        <x:v>hmda_property_value_weighted_downpayment_rate_fha_benchmark</x:v>
      </x:c>
      <x:c r="D243" s="21" t="str">
        <x:v>HMDA property-value-weighted down-payment rate - FHA benchmark</x:v>
      </x:c>
      <x:c r="E243" s="29" t="str">
        <x:v>Have</x:v>
      </x:c>
      <x:c r="F243" s="29" t="str">
        <x:v>Have</x:v>
      </x:c>
      <x:c r="G243" s="21" t="str">
        <x:v>cfpb_hmda_modified_lar (CFPB and FFIEC)</x:v>
      </x:c>
      <x:c r="H243" s="21" t="str">
        <x:v>CFPB and FFIEC</x:v>
      </x:c>
      <x:c r="I243" s="33" t="str">
        <x:v>No</x:v>
      </x:c>
      <x:c r="J243" s="21" t="str">
        <x:v>None for this variable in the latest document. HMDA/Modified LAR is absent from the complete latest document. This is a repository-only Version A addition.</x:v>
      </x:c>
      <x:c r="K243" s="21" t="str">
        <x:v>Used only for 2025 county mortgage-origination down-payment benchmarks (overall/conventional/FHA/VA). It is not used by a latest-document construction and cannot count as latest-document compliant.</x:v>
      </x:c>
      <x:c r="L243" s="21" t="str">
        <x:v>2025 California counties: 1/1 non-null; 0 county rows suppressed by the N=50 overall or N=100 loan-type minimum. Los Angeles County is non-null.</x:v>
      </x:c>
      <x:c r="M243" s="21" t="str">
        <x:v>None beyond the source-specific refresh workflow.</x:v>
      </x:c>
      <x:c r="N243" s="21" t="str">
        <x:v>Whole-document search: zero HMDA, Modified LAR, Loan/Application Register, or Home Mortgage Disclosure Act mentions.</x:v>
      </x:c>
    </x:row>
    <x:row r="244" ht="82" customHeight="1">
      <x:c r="A244" s="20" t="n">
        <x:v>240</x:v>
      </x:c>
      <x:c r="B244" s="20" t="str">
        <x:v>Version A</x:v>
      </x:c>
      <x:c r="C244" s="20" t="str">
        <x:v>hmda_aggregate_downpayment_flow_fha_benchmark</x:v>
      </x:c>
      <x:c r="D244" s="20" t="str">
        <x:v>HMDA aggregate down-payment flow - FHA benchmark</x:v>
      </x:c>
      <x:c r="E244" s="29" t="str">
        <x:v>Have</x:v>
      </x:c>
      <x:c r="F244" s="29" t="str">
        <x:v>Have</x:v>
      </x:c>
      <x:c r="G244" s="20" t="str">
        <x:v>cfpb_hmda_modified_lar (CFPB and FFIEC)</x:v>
      </x:c>
      <x:c r="H244" s="20" t="str">
        <x:v>CFPB and FFIEC</x:v>
      </x:c>
      <x:c r="I244" s="33" t="str">
        <x:v>No</x:v>
      </x:c>
      <x:c r="J244" s="20" t="str">
        <x:v>None for this variable in the latest document. HMDA/Modified LAR is absent from the complete latest document. This is a repository-only Version A addition.</x:v>
      </x:c>
      <x:c r="K244" s="20" t="str">
        <x:v>Used only for 2025 county mortgage-origination down-payment benchmarks (overall/conventional/FHA/VA). It is not used by a latest-document construction and cannot count as latest-document compliant.</x:v>
      </x:c>
      <x:c r="L244" s="20" t="str">
        <x:v>2025 California counties: 1/1 non-null; 0 county rows suppressed by the N=50 overall or N=100 loan-type minimum. Los Angeles County is non-null.</x:v>
      </x:c>
      <x:c r="M244" s="20" t="str">
        <x:v>None beyond the source-specific refresh workflow.</x:v>
      </x:c>
      <x:c r="N244" s="20" t="str">
        <x:v>Whole-document search: zero HMDA, Modified LAR, Loan/Application Register, or Home Mortgage Disclosure Act mentions.</x:v>
      </x:c>
    </x:row>
    <x:row r="245" ht="82" customHeight="1">
      <x:c r="A245" s="21" t="n">
        <x:v>241</x:v>
      </x:c>
      <x:c r="B245" s="21" t="str">
        <x:v>Version A</x:v>
      </x:c>
      <x:c r="C245" s="21" t="str">
        <x:v>hmda_share_downpayment_below_3pct_fha_benchmark</x:v>
      </x:c>
      <x:c r="D245" s="21" t="str">
        <x:v>HMDA FHA share below 3% down benchmark</x:v>
      </x:c>
      <x:c r="E245" s="29" t="str">
        <x:v>Have</x:v>
      </x:c>
      <x:c r="F245" s="29" t="str">
        <x:v>Have</x:v>
      </x:c>
      <x:c r="G245" s="21" t="str">
        <x:v>cfpb_hmda_modified_lar (CFPB and FFIEC)</x:v>
      </x:c>
      <x:c r="H245" s="21" t="str">
        <x:v>CFPB and FFIEC</x:v>
      </x:c>
      <x:c r="I245" s="33" t="str">
        <x:v>No</x:v>
      </x:c>
      <x:c r="J245" s="21" t="str">
        <x:v>None for this variable in the latest document. HMDA/Modified LAR is absent from the complete latest document. This is a repository-only Version A addition.</x:v>
      </x:c>
      <x:c r="K245" s="21" t="str">
        <x:v>Used only for 2025 county mortgage-origination down-payment benchmarks (overall/conventional/FHA/VA). It is not used by a latest-document construction and cannot count as latest-document compliant.</x:v>
      </x:c>
      <x:c r="L245" s="21" t="str">
        <x:v>2025 California counties: 1/1 non-null; 0 county rows suppressed by the N=50 overall or N=100 loan-type minimum. Los Angeles County is non-null.</x:v>
      </x:c>
      <x:c r="M245" s="21" t="str">
        <x:v>None beyond the source-specific refresh workflow.</x:v>
      </x:c>
      <x:c r="N245" s="21" t="str">
        <x:v>Whole-document search: zero HMDA, Modified LAR, Loan/Application Register, or Home Mortgage Disclosure Act mentions.</x:v>
      </x:c>
    </x:row>
    <x:row r="246" ht="82" customHeight="1">
      <x:c r="A246" s="20" t="n">
        <x:v>242</x:v>
      </x:c>
      <x:c r="B246" s="20" t="str">
        <x:v>Version A</x:v>
      </x:c>
      <x:c r="C246" s="20" t="str">
        <x:v>hmda_share_downpayment_below_5pct_fha_benchmark</x:v>
      </x:c>
      <x:c r="D246" s="20" t="str">
        <x:v>HMDA FHA share below 5% down benchmark</x:v>
      </x:c>
      <x:c r="E246" s="29" t="str">
        <x:v>Have</x:v>
      </x:c>
      <x:c r="F246" s="29" t="str">
        <x:v>Have</x:v>
      </x:c>
      <x:c r="G246" s="20" t="str">
        <x:v>cfpb_hmda_modified_lar (CFPB and FFIEC)</x:v>
      </x:c>
      <x:c r="H246" s="20" t="str">
        <x:v>CFPB and FFIEC</x:v>
      </x:c>
      <x:c r="I246" s="33" t="str">
        <x:v>No</x:v>
      </x:c>
      <x:c r="J246" s="20" t="str">
        <x:v>None for this variable in the latest document. HMDA/Modified LAR is absent from the complete latest document. This is a repository-only Version A addition.</x:v>
      </x:c>
      <x:c r="K246" s="20" t="str">
        <x:v>Used only for 2025 county mortgage-origination down-payment benchmarks (overall/conventional/FHA/VA). It is not used by a latest-document construction and cannot count as latest-document compliant.</x:v>
      </x:c>
      <x:c r="L246" s="20" t="str">
        <x:v>2025 California counties: 1/1 non-null; 0 county rows suppressed by the N=50 overall or N=100 loan-type minimum. Los Angeles County is non-null.</x:v>
      </x:c>
      <x:c r="M246" s="20" t="str">
        <x:v>None beyond the source-specific refresh workflow.</x:v>
      </x:c>
      <x:c r="N246" s="20" t="str">
        <x:v>Whole-document search: zero HMDA, Modified LAR, Loan/Application Register, or Home Mortgage Disclosure Act mentions.</x:v>
      </x:c>
    </x:row>
    <x:row r="247" ht="82" customHeight="1">
      <x:c r="A247" s="21" t="n">
        <x:v>243</x:v>
      </x:c>
      <x:c r="B247" s="21" t="str">
        <x:v>Version A</x:v>
      </x:c>
      <x:c r="C247" s="21" t="str">
        <x:v>hmda_share_downpayment_below_10pct_fha_benchmark</x:v>
      </x:c>
      <x:c r="D247" s="21" t="str">
        <x:v>HMDA FHA share below 10% down benchmark</x:v>
      </x:c>
      <x:c r="E247" s="29" t="str">
        <x:v>Have</x:v>
      </x:c>
      <x:c r="F247" s="29" t="str">
        <x:v>Have</x:v>
      </x:c>
      <x:c r="G247" s="21" t="str">
        <x:v>cfpb_hmda_modified_lar (CFPB and FFIEC)</x:v>
      </x:c>
      <x:c r="H247" s="21" t="str">
        <x:v>CFPB and FFIEC</x:v>
      </x:c>
      <x:c r="I247" s="33" t="str">
        <x:v>No</x:v>
      </x:c>
      <x:c r="J247" s="21" t="str">
        <x:v>None for this variable in the latest document. HMDA/Modified LAR is absent from the complete latest document. This is a repository-only Version A addition.</x:v>
      </x:c>
      <x:c r="K247" s="21" t="str">
        <x:v>Used only for 2025 county mortgage-origination down-payment benchmarks (overall/conventional/FHA/VA). It is not used by a latest-document construction and cannot count as latest-document compliant.</x:v>
      </x:c>
      <x:c r="L247" s="21" t="str">
        <x:v>2025 California counties: 1/1 non-null; 0 county rows suppressed by the N=50 overall or N=100 loan-type minimum. Los Angeles County is non-null.</x:v>
      </x:c>
      <x:c r="M247" s="21" t="str">
        <x:v>None beyond the source-specific refresh workflow.</x:v>
      </x:c>
      <x:c r="N247" s="21" t="str">
        <x:v>Whole-document search: zero HMDA, Modified LAR, Loan/Application Register, or Home Mortgage Disclosure Act mentions.</x:v>
      </x:c>
    </x:row>
    <x:row r="248" ht="82" customHeight="1">
      <x:c r="A248" s="20" t="n">
        <x:v>244</x:v>
      </x:c>
      <x:c r="B248" s="20" t="str">
        <x:v>Version A</x:v>
      </x:c>
      <x:c r="C248" s="20" t="str">
        <x:v>hmda_share_downpayment_below_20pct_fha_benchmark</x:v>
      </x:c>
      <x:c r="D248" s="20" t="str">
        <x:v>HMDA FHA share below 20% down benchmark</x:v>
      </x:c>
      <x:c r="E248" s="29" t="str">
        <x:v>Have</x:v>
      </x:c>
      <x:c r="F248" s="29" t="str">
        <x:v>Have</x:v>
      </x:c>
      <x:c r="G248" s="20" t="str">
        <x:v>cfpb_hmda_modified_lar (CFPB and FFIEC)</x:v>
      </x:c>
      <x:c r="H248" s="20" t="str">
        <x:v>CFPB and FFIEC</x:v>
      </x:c>
      <x:c r="I248" s="33" t="str">
        <x:v>No</x:v>
      </x:c>
      <x:c r="J248" s="20" t="str">
        <x:v>None for this variable in the latest document. HMDA/Modified LAR is absent from the complete latest document. This is a repository-only Version A addition.</x:v>
      </x:c>
      <x:c r="K248" s="20" t="str">
        <x:v>Used only for 2025 county mortgage-origination down-payment benchmarks (overall/conventional/FHA/VA). It is not used by a latest-document construction and cannot count as latest-document compliant.</x:v>
      </x:c>
      <x:c r="L248" s="20" t="str">
        <x:v>2025 California counties: 1/1 non-null; 0 county rows suppressed by the N=50 overall or N=100 loan-type minimum. Los Angeles County is non-null.</x:v>
      </x:c>
      <x:c r="M248" s="20" t="str">
        <x:v>None beyond the source-specific refresh workflow.</x:v>
      </x:c>
      <x:c r="N248" s="20" t="str">
        <x:v>Whole-document search: zero HMDA, Modified LAR, Loan/Application Register, or Home Mortgage Disclosure Act mentions.</x:v>
      </x:c>
    </x:row>
    <x:row r="249" ht="82" customHeight="1">
      <x:c r="A249" s="21" t="n">
        <x:v>245</x:v>
      </x:c>
      <x:c r="B249" s="21" t="str">
        <x:v>Version A</x:v>
      </x:c>
      <x:c r="C249" s="21" t="str">
        <x:v>hmda_median_downpayment_rate_va_benchmark</x:v>
      </x:c>
      <x:c r="D249" s="21" t="str">
        <x:v>HMDA median down-payment rate - VA benchmark</x:v>
      </x:c>
      <x:c r="E249" s="29" t="str">
        <x:v>Have</x:v>
      </x:c>
      <x:c r="F249" s="29" t="str">
        <x:v>Have</x:v>
      </x:c>
      <x:c r="G249" s="21" t="str">
        <x:v>cfpb_hmda_modified_lar (CFPB and FFIEC)</x:v>
      </x:c>
      <x:c r="H249" s="21" t="str">
        <x:v>CFPB and FFIEC</x:v>
      </x:c>
      <x:c r="I249" s="33" t="str">
        <x:v>No</x:v>
      </x:c>
      <x:c r="J249" s="21" t="str">
        <x:v>None for this variable in the latest document. HMDA/Modified LAR is absent from the complete latest document. This is a repository-only Version A addition.</x:v>
      </x:c>
      <x:c r="K249" s="21" t="str">
        <x:v>Used only for 2025 county mortgage-origination down-payment benchmarks (overall/conventional/FHA/VA). It is not used by a latest-document construction and cannot count as latest-document compliant.</x:v>
      </x:c>
      <x:c r="L249" s="21" t="str">
        <x:v>2025 California counties: 1/1 non-null; 0 county rows suppressed by the N=50 overall or N=100 loan-type minimum. Los Angeles County is non-null.</x:v>
      </x:c>
      <x:c r="M249" s="21" t="str">
        <x:v>None beyond the source-specific refresh workflow.</x:v>
      </x:c>
      <x:c r="N249" s="21" t="str">
        <x:v>Whole-document search: zero HMDA, Modified LAR, Loan/Application Register, or Home Mortgage Disclosure Act mentions.</x:v>
      </x:c>
    </x:row>
    <x:row r="250" ht="82" customHeight="1">
      <x:c r="A250" s="20" t="n">
        <x:v>246</x:v>
      </x:c>
      <x:c r="B250" s="20" t="str">
        <x:v>Version A</x:v>
      </x:c>
      <x:c r="C250" s="20" t="str">
        <x:v>hmda_property_value_weighted_downpayment_rate_va_benchmark</x:v>
      </x:c>
      <x:c r="D250" s="20" t="str">
        <x:v>HMDA property-value-weighted down-payment rate - VA benchmark</x:v>
      </x:c>
      <x:c r="E250" s="29" t="str">
        <x:v>Have</x:v>
      </x:c>
      <x:c r="F250" s="29" t="str">
        <x:v>Have</x:v>
      </x:c>
      <x:c r="G250" s="20" t="str">
        <x:v>cfpb_hmda_modified_lar (CFPB and FFIEC)</x:v>
      </x:c>
      <x:c r="H250" s="20" t="str">
        <x:v>CFPB and FFIEC</x:v>
      </x:c>
      <x:c r="I250" s="33" t="str">
        <x:v>No</x:v>
      </x:c>
      <x:c r="J250" s="20" t="str">
        <x:v>None for this variable in the latest document. HMDA/Modified LAR is absent from the complete latest document. This is a repository-only Version A addition.</x:v>
      </x:c>
      <x:c r="K250" s="20" t="str">
        <x:v>Used only for 2025 county mortgage-origination down-payment benchmarks (overall/conventional/FHA/VA). It is not used by a latest-document construction and cannot count as latest-document compliant.</x:v>
      </x:c>
      <x:c r="L250" s="20" t="str">
        <x:v>2025 California counties: 1/1 non-null; 0 county rows suppressed by the N=50 overall or N=100 loan-type minimum. Los Angeles County is non-null.</x:v>
      </x:c>
      <x:c r="M250" s="20" t="str">
        <x:v>None beyond the source-specific refresh workflow.</x:v>
      </x:c>
      <x:c r="N250" s="20" t="str">
        <x:v>Whole-document search: zero HMDA, Modified LAR, Loan/Application Register, or Home Mortgage Disclosure Act mentions.</x:v>
      </x:c>
    </x:row>
    <x:row r="251" ht="82" customHeight="1">
      <x:c r="A251" s="21" t="n">
        <x:v>247</x:v>
      </x:c>
      <x:c r="B251" s="21" t="str">
        <x:v>Version A</x:v>
      </x:c>
      <x:c r="C251" s="21" t="str">
        <x:v>hmda_aggregate_downpayment_flow_va_benchmark</x:v>
      </x:c>
      <x:c r="D251" s="21" t="str">
        <x:v>HMDA aggregate down-payment flow - VA benchmark</x:v>
      </x:c>
      <x:c r="E251" s="29" t="str">
        <x:v>Have</x:v>
      </x:c>
      <x:c r="F251" s="29" t="str">
        <x:v>Have</x:v>
      </x:c>
      <x:c r="G251" s="21" t="str">
        <x:v>cfpb_hmda_modified_lar (CFPB and FFIEC)</x:v>
      </x:c>
      <x:c r="H251" s="21" t="str">
        <x:v>CFPB and FFIEC</x:v>
      </x:c>
      <x:c r="I251" s="33" t="str">
        <x:v>No</x:v>
      </x:c>
      <x:c r="J251" s="21" t="str">
        <x:v>None for this variable in the latest document. HMDA/Modified LAR is absent from the complete latest document. This is a repository-only Version A addition.</x:v>
      </x:c>
      <x:c r="K251" s="21" t="str">
        <x:v>Used only for 2025 county mortgage-origination down-payment benchmarks (overall/conventional/FHA/VA). It is not used by a latest-document construction and cannot count as latest-document compliant.</x:v>
      </x:c>
      <x:c r="L251" s="21" t="str">
        <x:v>2025 California counties: 1/1 non-null; 0 county rows suppressed by the N=50 overall or N=100 loan-type minimum. Los Angeles County is non-null.</x:v>
      </x:c>
      <x:c r="M251" s="21" t="str">
        <x:v>None beyond the source-specific refresh workflow.</x:v>
      </x:c>
      <x:c r="N251" s="21" t="str">
        <x:v>Whole-document search: zero HMDA, Modified LAR, Loan/Application Register, or Home Mortgage Disclosure Act mentions.</x:v>
      </x:c>
    </x:row>
    <x:row r="252" ht="82" customHeight="1">
      <x:c r="A252" s="20" t="n">
        <x:v>248</x:v>
      </x:c>
      <x:c r="B252" s="20" t="str">
        <x:v>Version A</x:v>
      </x:c>
      <x:c r="C252" s="20" t="str">
        <x:v>hmda_share_downpayment_below_3pct_va_benchmark</x:v>
      </x:c>
      <x:c r="D252" s="20" t="str">
        <x:v>HMDA VA share below 3% down benchmark</x:v>
      </x:c>
      <x:c r="E252" s="29" t="str">
        <x:v>Have</x:v>
      </x:c>
      <x:c r="F252" s="29" t="str">
        <x:v>Have</x:v>
      </x:c>
      <x:c r="G252" s="20" t="str">
        <x:v>cfpb_hmda_modified_lar (CFPB and FFIEC)</x:v>
      </x:c>
      <x:c r="H252" s="20" t="str">
        <x:v>CFPB and FFIEC</x:v>
      </x:c>
      <x:c r="I252" s="33" t="str">
        <x:v>No</x:v>
      </x:c>
      <x:c r="J252" s="20" t="str">
        <x:v>None for this variable in the latest document. HMDA/Modified LAR is absent from the complete latest document. This is a repository-only Version A addition.</x:v>
      </x:c>
      <x:c r="K252" s="20" t="str">
        <x:v>Used only for 2025 county mortgage-origination down-payment benchmarks (overall/conventional/FHA/VA). It is not used by a latest-document construction and cannot count as latest-document compliant.</x:v>
      </x:c>
      <x:c r="L252" s="20" t="str">
        <x:v>2025 California counties: 1/1 non-null; 0 county rows suppressed by the N=50 overall or N=100 loan-type minimum. Los Angeles County is non-null.</x:v>
      </x:c>
      <x:c r="M252" s="20" t="str">
        <x:v>None beyond the source-specific refresh workflow.</x:v>
      </x:c>
      <x:c r="N252" s="20" t="str">
        <x:v>Whole-document search: zero HMDA, Modified LAR, Loan/Application Register, or Home Mortgage Disclosure Act mentions.</x:v>
      </x:c>
    </x:row>
    <x:row r="253" ht="82" customHeight="1">
      <x:c r="A253" s="21" t="n">
        <x:v>249</x:v>
      </x:c>
      <x:c r="B253" s="21" t="str">
        <x:v>Version A</x:v>
      </x:c>
      <x:c r="C253" s="21" t="str">
        <x:v>hmda_share_downpayment_below_5pct_va_benchmark</x:v>
      </x:c>
      <x:c r="D253" s="21" t="str">
        <x:v>HMDA VA share below 5% down benchmark</x:v>
      </x:c>
      <x:c r="E253" s="29" t="str">
        <x:v>Have</x:v>
      </x:c>
      <x:c r="F253" s="29" t="str">
        <x:v>Have</x:v>
      </x:c>
      <x:c r="G253" s="21" t="str">
        <x:v>cfpb_hmda_modified_lar (CFPB and FFIEC)</x:v>
      </x:c>
      <x:c r="H253" s="21" t="str">
        <x:v>CFPB and FFIEC</x:v>
      </x:c>
      <x:c r="I253" s="33" t="str">
        <x:v>No</x:v>
      </x:c>
      <x:c r="J253" s="21" t="str">
        <x:v>None for this variable in the latest document. HMDA/Modified LAR is absent from the complete latest document. This is a repository-only Version A addition.</x:v>
      </x:c>
      <x:c r="K253" s="21" t="str">
        <x:v>Used only for 2025 county mortgage-origination down-payment benchmarks (overall/conventional/FHA/VA). It is not used by a latest-document construction and cannot count as latest-document compliant.</x:v>
      </x:c>
      <x:c r="L253" s="21" t="str">
        <x:v>2025 California counties: 1/1 non-null; 0 county rows suppressed by the N=50 overall or N=100 loan-type minimum. Los Angeles County is non-null.</x:v>
      </x:c>
      <x:c r="M253" s="21" t="str">
        <x:v>None beyond the source-specific refresh workflow.</x:v>
      </x:c>
      <x:c r="N253" s="21" t="str">
        <x:v>Whole-document search: zero HMDA, Modified LAR, Loan/Application Register, or Home Mortgage Disclosure Act mentions.</x:v>
      </x:c>
    </x:row>
    <x:row r="254" ht="82" customHeight="1">
      <x:c r="A254" s="20" t="n">
        <x:v>250</x:v>
      </x:c>
      <x:c r="B254" s="20" t="str">
        <x:v>Version A</x:v>
      </x:c>
      <x:c r="C254" s="20" t="str">
        <x:v>hmda_share_downpayment_below_10pct_va_benchmark</x:v>
      </x:c>
      <x:c r="D254" s="20" t="str">
        <x:v>HMDA VA share below 10% down benchmark</x:v>
      </x:c>
      <x:c r="E254" s="29" t="str">
        <x:v>Have</x:v>
      </x:c>
      <x:c r="F254" s="29" t="str">
        <x:v>Have</x:v>
      </x:c>
      <x:c r="G254" s="20" t="str">
        <x:v>cfpb_hmda_modified_lar (CFPB and FFIEC)</x:v>
      </x:c>
      <x:c r="H254" s="20" t="str">
        <x:v>CFPB and FFIEC</x:v>
      </x:c>
      <x:c r="I254" s="33" t="str">
        <x:v>No</x:v>
      </x:c>
      <x:c r="J254" s="20" t="str">
        <x:v>None for this variable in the latest document. HMDA/Modified LAR is absent from the complete latest document. This is a repository-only Version A addition.</x:v>
      </x:c>
      <x:c r="K254" s="20" t="str">
        <x:v>Used only for 2025 county mortgage-origination down-payment benchmarks (overall/conventional/FHA/VA). It is not used by a latest-document construction and cannot count as latest-document compliant.</x:v>
      </x:c>
      <x:c r="L254" s="20" t="str">
        <x:v>2025 California counties: 1/1 non-null; 0 county rows suppressed by the N=50 overall or N=100 loan-type minimum. Los Angeles County is non-null.</x:v>
      </x:c>
      <x:c r="M254" s="20" t="str">
        <x:v>None beyond the source-specific refresh workflow.</x:v>
      </x:c>
      <x:c r="N254" s="20" t="str">
        <x:v>Whole-document search: zero HMDA, Modified LAR, Loan/Application Register, or Home Mortgage Disclosure Act mentions.</x:v>
      </x:c>
    </x:row>
    <x:row r="255" ht="82" customHeight="1">
      <x:c r="A255" s="21" t="n">
        <x:v>251</x:v>
      </x:c>
      <x:c r="B255" s="21" t="str">
        <x:v>Version A</x:v>
      </x:c>
      <x:c r="C255" s="21" t="str">
        <x:v>hmda_share_downpayment_below_20pct_va_benchmark</x:v>
      </x:c>
      <x:c r="D255" s="21" t="str">
        <x:v>HMDA VA share below 20% down benchmark</x:v>
      </x:c>
      <x:c r="E255" s="29" t="str">
        <x:v>Have</x:v>
      </x:c>
      <x:c r="F255" s="29" t="str">
        <x:v>Have</x:v>
      </x:c>
      <x:c r="G255" s="21" t="str">
        <x:v>cfpb_hmda_modified_lar (CFPB and FFIEC)</x:v>
      </x:c>
      <x:c r="H255" s="21" t="str">
        <x:v>CFPB and FFIEC</x:v>
      </x:c>
      <x:c r="I255" s="33" t="str">
        <x:v>No</x:v>
      </x:c>
      <x:c r="J255" s="21" t="str">
        <x:v>None for this variable in the latest document. HMDA/Modified LAR is absent from the complete latest document. This is a repository-only Version A addition.</x:v>
      </x:c>
      <x:c r="K255" s="21" t="str">
        <x:v>Used only for 2025 county mortgage-origination down-payment benchmarks (overall/conventional/FHA/VA). It is not used by a latest-document construction and cannot count as latest-document compliant.</x:v>
      </x:c>
      <x:c r="L255" s="21" t="str">
        <x:v>2025 California counties: 1/1 non-null; 0 county rows suppressed by the N=50 overall or N=100 loan-type minimum. Los Angeles County is non-null.</x:v>
      </x:c>
      <x:c r="M255" s="21" t="str">
        <x:v>None beyond the source-specific refresh workflow.</x:v>
      </x:c>
      <x:c r="N255" s="21" t="str">
        <x:v>Whole-document search: zero HMDA, Modified LAR, Loan/Application Register, or Home Mortgage Disclosure Act mentions.</x:v>
      </x:c>
    </x:row>
  </x:sheetData>
  <x:mergeCells>
    <x:mergeCell ref="A1:N1"/>
    <x:mergeCell ref="A2:N2"/>
    <x:mergeCell ref="A3:N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4" hidden="0" customWidth="1"/>
    <x:col min="4" max="4" width="22" hidden="0" customWidth="1"/>
    <x:col min="5" max="5" width="22" hidden="0" customWidth="1"/>
    <x:col min="6" max="6" width="33" hidden="0" customWidth="1"/>
    <x:col min="7" max="7" width="16" hidden="0" customWidth="1"/>
    <x:col min="8" max="8" width="16" hidden="0" customWidth="1"/>
    <x:col min="9" max="9" width="28" hidden="0" customWidth="1"/>
    <x:col min="10" max="10" width="34" hidden="0" customWidth="1"/>
    <x:col min="11" max="11" width="30" hidden="0" customWidth="1"/>
    <x:col min="12" max="12" width="52" hidden="0" customWidth="1"/>
    <x:col min="13" max="13" width="44" hidden="0" customWidth="1"/>
    <x:col min="14" max="14" width="43" hidden="0" customWidth="1"/>
    <x:col min="15" max="15" width="37" hidden="0" customWidth="1"/>
    <x:col min="16" max="16" width="14" hidden="0" customWidth="1"/>
  </x:cols>
  <x:sheetData>
    <x:row r="1" ht="30" customHeight="1">
      <x:c r="A1" s="3" t="str">
        <x:v>Coverage and Gap Detail</x:v>
      </x:c>
      <x:c r="B1" s="3"/>
      <x:c r="C1" s="3"/>
      <x:c r="D1" s="3"/>
      <x:c r="E1" s="3"/>
      <x:c r="F1" s="3"/>
      <x:c r="G1" s="3"/>
      <x:c r="H1" s="3"/>
      <x:c r="I1" s="3"/>
      <x:c r="J1" s="3"/>
      <x:c r="K1" s="3"/>
      <x:c r="L1" s="3"/>
      <x:c r="M1" s="3"/>
      <x:c r="N1" s="3"/>
      <x:c r="O1" s="3"/>
      <x:c r="P1" s="3"/>
    </x:row>
    <x:row r="2" ht="34" customHeight="1">
      <x:c r="A2" s="7" t="str">
        <x:v>Coverage is reported at the source's true geography and native frequency. Missing observations remain missing unless a documented transformation exists.</x:v>
      </x:c>
      <x:c r="B2" s="7"/>
      <x:c r="C2" s="7"/>
      <x:c r="D2" s="7"/>
      <x:c r="E2" s="7"/>
      <x:c r="F2" s="7"/>
      <x:c r="G2" s="7"/>
      <x:c r="H2" s="7"/>
      <x:c r="I2" s="7"/>
      <x:c r="J2" s="7"/>
      <x:c r="K2" s="7"/>
      <x:c r="L2" s="7"/>
      <x:c r="M2" s="7"/>
      <x:c r="N2" s="7"/>
      <x:c r="O2" s="7"/>
      <x:c r="P2" s="7"/>
    </x:row>
    <x:row r="3" ht="38" customHeight="1">
      <x:c r="A3" s="11" t="str">
        <x:v>Every Partial or Do not have row includes a blocker stage and an exact stuck step in the Variable Inventory; qualified Have rows retain their coverage limitations here.</x:v>
      </x:c>
      <x:c r="B3" s="11"/>
      <x:c r="C3" s="11"/>
      <x:c r="D3" s="11"/>
      <x:c r="E3" s="11"/>
      <x:c r="F3" s="11"/>
      <x:c r="G3" s="11"/>
      <x:c r="H3" s="11"/>
      <x:c r="I3" s="11"/>
      <x:c r="J3" s="11"/>
      <x:c r="K3" s="11"/>
      <x:c r="L3" s="11"/>
      <x:c r="M3" s="11"/>
      <x:c r="N3" s="11"/>
      <x:c r="O3" s="11"/>
      <x:c r="P3" s="11"/>
    </x:row>
    <x:row r="4" ht="38" customHeight="1">
      <x:c r="A4" s="17" t="str">
        <x:v>#</x:v>
      </x:c>
      <x:c r="B4" s="17" t="str">
        <x:v>Canonical variable(s)</x:v>
      </x:c>
      <x:c r="C4" s="17" t="str">
        <x:v>Availability</x:v>
      </x:c>
      <x:c r="D4" s="17" t="str">
        <x:v>Native frequency</x:v>
      </x:c>
      <x:c r="E4" s="17" t="str">
        <x:v>Analytical frequency</x:v>
      </x:c>
      <x:c r="F4" s="17" t="str">
        <x:v>True geography</x:v>
      </x:c>
      <x:c r="G4" s="17" t="str">
        <x:v>Coverage start</x:v>
      </x:c>
      <x:c r="H4" s="17" t="str">
        <x:v>Coverage end</x:v>
      </x:c>
      <x:c r="I4" s="17" t="str">
        <x:v>Observations / non-null</x:v>
      </x:c>
      <x:c r="J4" s="17" t="str">
        <x:v>Missingness / internal gaps</x:v>
      </x:c>
      <x:c r="K4" s="17" t="str">
        <x:v>Gap type</x:v>
      </x:c>
      <x:c r="L4" s="17" t="str">
        <x:v>Exact stuck step</x:v>
      </x:c>
      <x:c r="M4" s="17" t="str">
        <x:v>Next allowed action</x:v>
      </x:c>
      <x:c r="N4" s="17" t="str">
        <x:v>Limitation</x:v>
      </x:c>
      <x:c r="O4" s="17" t="str">
        <x:v>Repository table / field</x:v>
      </x:c>
      <x:c r="P4" s="17" t="str">
        <x:v>Status as of</x:v>
      </x:c>
    </x:row>
    <x:row r="5" ht="72" customHeight="1">
      <x:c r="A5" s="21" t="n">
        <x:v>1</x:v>
      </x:c>
      <x:c r="B5" s="21" t="str">
        <x:v>six acs_implied_owner_occupied_home_equity_*_pmms_*_scenario_benchmark IDs | seven calibrated/dependent equity, per-owner, LTV, and equity-rate IDs</x:v>
      </x:c>
      <x:c r="C5" s="25" t="str">
        <x:v>Partial</x:v>
      </x:c>
      <x:c r="D5" s="21" t="str">
        <x:v>annual inputs</x:v>
      </x:c>
      <x:c r="E5" s="21" t="str">
        <x:v>annual benchmark</x:v>
      </x:c>
      <x:c r="F5" s="21" t="str">
        <x:v>California counties</x:v>
      </x:c>
      <x:c r="G5" s="21" t="str">
        <x:v>2024-12-31</x:v>
      </x:c>
      <x:c r="H5" s="21" t="str">
        <x:v>2024-12-31</x:v>
      </x:c>
      <x:c r="I5" s="21" t="str">
        <x:v>348 non-null scenario values; 406 calibrated/dependent target rows null (754 selected rows total)</x:v>
      </x:c>
      <x:c r="J5" s="21" t="str">
        <x:v>406 of 754 selected rows null; all scenario rows complete</x:v>
      </x:c>
      <x:c r="K5" s="21" t="str">
        <x:v>partial; calibrated target schema-only</x:v>
      </x:c>
      <x:c r="L5" s="21" t="str">
        <x:v>Obtain an exact-date California owner-occupied closed-end first-lien UPB control, potentially through custom/restricted FHFA coordination, or approve a documented compatible proxy/calibration method; never use all-mortgage TOT_UPB silently.</x:v>
      </x:c>
      <x:c r="M5" s="21" t="str">
        <x:v>No ordinary login/API key is needed. Resolve the UPB-universe/calibration decision; meanwhile use only the explicitly labeled scenario rows for sensitivity analysis.</x:v>
      </x:c>
      <x:c r="N5" s="21" t="str">
        <x:v>Term scenarios are uncalibrated sensitivities, not preferred calibrated equity; the older B25106 construction is a separate legacy scenario.</x:v>
      </x:c>
      <x:c r="O5" s="21" t="str">
        <x:v>analytics.housing_finance_benchmark</x:v>
      </x:c>
      <x:c r="P5" s="21" t="str">
        <x:v>2026-08-07</x:v>
      </x:c>
    </x:row>
    <x:row r="6" ht="72" customHeight="1">
      <x:c r="A6" s="20" t="n">
        <x:v>2</x:v>
      </x:c>
      <x:c r="B6" s="20" t="str">
        <x:v>acs_implied_first_mortgage_balance_raw_pmms_20y_sensitivity_benchmark | acs_implied_first_mortgage_balance_raw_pmms_25y_sensitivity_benchmark | acs_implied_first_mortgage_balance_raw_pmms_30y_sensitivity_benchmark | acs_implied_first_mortgage_balance_raw_benchmark | acs_implied_first_mortgage_balance_cal_benchmark (+ calibrated ratio fields)</x:v>
      </x:c>
      <x:c r="C6" s="25" t="str">
        <x:v>Partial</x:v>
      </x:c>
      <x:c r="D6" s="20" t="str">
        <x:v>annual inputs</x:v>
      </x:c>
      <x:c r="E6" s="20" t="str">
        <x:v>annual benchmark</x:v>
      </x:c>
      <x:c r="F6" s="20" t="str">
        <x:v>California counties</x:v>
      </x:c>
      <x:c r="G6" s="20" t="str">
        <x:v>2024-12-31</x:v>
      </x:c>
      <x:c r="H6" s="20" t="str">
        <x:v>2024-12-31</x:v>
      </x:c>
      <x:c r="I6" s="20" t="str">
        <x:v>174 fixed-term scenario values + 58 raw-envelope values; calibrated targets 0 non-null</x:v>
      </x:c>
      <x:c r="J6" s="20" t="str">
        <x:v>290 calibrated debt/ratio rows null; all 232 raw scenario/envelope rows complete</x:v>
      </x:c>
      <x:c r="K6" s="20" t="str">
        <x:v>inputs present/target unconstructed</x:v>
      </x:c>
      <x:c r="L6" s="20" t="str">
        <x:v>Obtain an exact-date California owner-occupied closed-end first-lien UPB control or approve an explicit compatible-universe calibration rule.</x:v>
      </x:c>
      <x:c r="M6" s="20" t="str">
        <x:v>No ordinary login/API key is needed; the blocker is statistical-universe compatibility and may require custom/restricted FHFA coordination.</x:v>
      </x:c>
      <x:c r="N6" s="20" t="str">
        <x:v>PMMS is an origination-rate sensitivity, not an outstanding-stock coupon; raw scenarios are not calibrated debt.</x:v>
      </x:c>
      <x:c r="O6" s="20" t="str">
        <x:v>analytics.housing_finance_benchmark</x:v>
      </x:c>
      <x:c r="P6" s="20" t="str">
        <x:v>2026-08-07</x:v>
      </x:c>
    </x:row>
    <x:row r="7" ht="72" customHeight="1">
      <x:c r="A7" s="21" t="n">
        <x:v>3</x:v>
      </x:c>
      <x:c r="B7" s="21" t="str">
        <x:v>28 hmda_*_benchmark IDs: overall and conventional/FHA/VA down-payment rates, aggregate flows, and threshold shares</x:v>
      </x:c>
      <x:c r="C7" s="29" t="str">
        <x:v>Have</x:v>
      </x:c>
      <x:c r="D7" s="21" t="str">
        <x:v>annual loan records</x:v>
      </x:c>
      <x:c r="E7" s="21" t="str">
        <x:v>annual county/loan-type benchmark</x:v>
      </x:c>
      <x:c r="F7" s="21" t="str">
        <x:v>California counties</x:v>
      </x:c>
      <x:c r="G7" s="21" t="str">
        <x:v>2025-07-01</x:v>
      </x:c>
      <x:c r="H7" s="21" t="str">
        <x:v>2025-07-01</x:v>
      </x:c>
      <x:c r="I7" s="21" t="str">
        <x:v>1,624 rows; 1,141 non-null; 28/28 LA County values non-null</x:v>
      </x:c>
      <x:c r="J7" s="21" t="str">
        <x:v>483 intentionally suppressed rows outside/including small county loan-type cells</x:v>
      </x:c>
      <x:c r="K7" s="21" t="str">
        <x:v>sample-size suppression</x:v>
      </x:c>
      <x:c r="L7" s="21" t="str">
        <x:v>Keep the existing data labeled repository-only and outside latest-document-compliant analyses unless a user-approved methodology explicitly adds CFPB/FFIEC HMDA for these 28 variables.</x:v>
      </x:c>
      <x:c r="M7" s="21" t="str">
        <x:v>No login or API key is needed. The blocker is methodology authorization, not acquisition; do not refresh or use it as latest-document-compliant data until explicitly approved.</x:v>
      </x:c>
      <x:c r="N7" s="21" t="str">
        <x:v>Mortgage-originations universe only; cash purchases excluded; missing/invalid reported CLTV is never repaired from loan amount.</x:v>
      </x:c>
      <x:c r="O7" s="21" t="str">
        <x:v>analytics.housing_finance_benchmark</x:v>
      </x:c>
      <x:c r="P7" s="21" t="str">
        <x:v>2026-08-07</x:v>
      </x:c>
    </x:row>
    <x:row r="8" ht="72" customHeight="1">
      <x:c r="A8" s="20" t="n">
        <x:v>4</x:v>
      </x:c>
      <x:c r="B8" s="20" t="str">
        <x:v>mortgage_payment_3_5pct_down | mortgage_payment_10pct_down | mortgage_payment_20pct_down</x:v>
      </x:c>
      <x:c r="C8" s="29" t="str">
        <x:v>Have</x:v>
      </x:c>
      <x:c r="D8" s="20" t="str">
        <x:v>monthly inputs</x:v>
      </x:c>
      <x:c r="E8" s="20" t="str">
        <x:v>monthly scenario</x:v>
      </x:c>
      <x:c r="F8" s="20" t="str">
        <x:v>Los Angeles County</x:v>
      </x:c>
      <x:c r="G8" s="20" t="str">
        <x:v>2012-01-31</x:v>
      </x:c>
      <x:c r="H8" s="20" t="str">
        <x:v>2026-05-31</x:v>
      </x:c>
      <x:c r="I8" s="20" t="str">
        <x:v>173 non-null per scenario</x:v>
      </x:c>
      <x:c r="J8" s="20" t="str">
        <x:v>None stated</x:v>
      </x:c>
      <x:c r="K8" s="20" t="str">
        <x:v>none</x:v>
      </x:c>
      <x:c r="L8" s="20" t="str">
        <x:v>None</x:v>
      </x:c>
      <x:c r="M8" s="20" t="str">
        <x:v>None</x:v>
      </x:c>
      <x:c r="N8" s="20" t="str">
        <x:v>Principal and interest only; excludes taxes, insurance, HOA, maintenance, and PMI.</x:v>
      </x:c>
      <x:c r="O8" s="20" t="str">
        <x:v>analytics.county_monthly_panel</x:v>
      </x:c>
      <x:c r="P8" s="20" t="str">
        <x:v>2026-08-07</x:v>
      </x:c>
    </x:row>
    <x:row r="9" ht="72" customHeight="1">
      <x:c r="A9" s="21" t="n">
        <x:v>5</x:v>
      </x:c>
      <x:c r="B9" s="21" t="str">
        <x:v>down_payment_3_5pct | down_payment_10pct | down_payment_20pct</x:v>
      </x:c>
      <x:c r="C9" s="29" t="str">
        <x:v>Have</x:v>
      </x:c>
      <x:c r="D9" s="21" t="str">
        <x:v>monthly input</x:v>
      </x:c>
      <x:c r="E9" s="21" t="str">
        <x:v>monthly scenario</x:v>
      </x:c>
      <x:c r="F9" s="21" t="str">
        <x:v>Los Angeles County</x:v>
      </x:c>
      <x:c r="G9" s="21" t="str">
        <x:v>2012-01-31</x:v>
      </x:c>
      <x:c r="H9" s="21" t="str">
        <x:v>2026-05-31</x:v>
      </x:c>
      <x:c r="I9" s="21" t="str">
        <x:v>173 non-null per scenario</x:v>
      </x:c>
      <x:c r="J9" s="21" t="str">
        <x:v>None stated</x:v>
      </x:c>
      <x:c r="K9" s="21" t="str">
        <x:v>none</x:v>
      </x:c>
      <x:c r="L9" s="21" t="str">
        <x:v>None</x:v>
      </x:c>
      <x:c r="M9" s="21" t="str">
        <x:v>None</x:v>
      </x:c>
      <x:c r="N9" s="21" t="str">
        <x:v>Scenario values, not observed borrower down payments.</x:v>
      </x:c>
      <x:c r="O9" s="21" t="str">
        <x:v>analytics.county_monthly_panel</x:v>
      </x:c>
      <x:c r="P9" s="21" t="str">
        <x:v>2026-08-07</x:v>
      </x:c>
    </x:row>
    <x:row r="10" ht="72" customHeight="1">
      <x:c r="A10" s="20" t="n">
        <x:v>6</x:v>
      </x:c>
      <x:c r="B10" s="20" t="str">
        <x:v>closing_cost_saleprice_2pct | closing_cost_saleprice_3pct | closing_cost_saleprice_5pct</x:v>
      </x:c>
      <x:c r="C10" s="29" t="str">
        <x:v>Have</x:v>
      </x:c>
      <x:c r="D10" s="20" t="str">
        <x:v>monthly input</x:v>
      </x:c>
      <x:c r="E10" s="20" t="str">
        <x:v>monthly scenario</x:v>
      </x:c>
      <x:c r="F10" s="20" t="str">
        <x:v>Los Angeles County and postal ZIP</x:v>
      </x:c>
      <x:c r="G10" s="20" t="str">
        <x:v>2012-01-31</x:v>
      </x:c>
      <x:c r="H10" s="20" t="str">
        <x:v>2026-05-31</x:v>
      </x:c>
      <x:c r="I10" s="20" t="str">
        <x:v>173 county + 22,946 ZIP non-null per canonical sale-price scenario</x:v>
      </x:c>
      <x:c r="J10" s="20" t="str">
        <x:v>None stated</x:v>
      </x:c>
      <x:c r="K10" s="20" t="str">
        <x:v>source missingness qualification</x:v>
      </x:c>
      <x:c r="L10" s="20" t="str">
        <x:v>None; preserve scenario and rolling-window labels.</x:v>
      </x:c>
      <x:c r="M10" s="20" t="str">
        <x:v>None beyond normal refresh and QA.</x:v>
      </x:c>
      <x:c r="N10" s="20" t="str">
        <x:v>Modeled scenarios are not observed local closing-cost records.</x:v>
      </x:c>
      <x:c r="O10" s="20" t="str">
        <x:v>analytics.county_monthly_panel | analytics.zip_monthly_panel | analytics.homebuying_cost_scenarios</x:v>
      </x:c>
      <x:c r="P10" s="20" t="str">
        <x:v>2026-08-07</x:v>
      </x:c>
    </x:row>
    <x:row r="11" ht="72" customHeight="1">
      <x:c r="A11" s="21" t="n">
        <x:v>7</x:v>
      </x:c>
      <x:c r="B11" s="21" t="str">
        <x:v>closing_cost_loan_3pct | closing_cost_loan_6pct</x:v>
      </x:c>
      <x:c r="C11" s="29" t="str">
        <x:v>Have</x:v>
      </x:c>
      <x:c r="D11" s="21" t="str">
        <x:v>monthly inputs</x:v>
      </x:c>
      <x:c r="E11" s="21" t="str">
        <x:v>monthly scenario</x:v>
      </x:c>
      <x:c r="F11" s="21" t="str">
        <x:v>County/ZIP target</x:v>
      </x:c>
      <x:c r="G11" s="21" t="str">
        <x:v>—</x:v>
      </x:c>
      <x:c r="H11" s="21" t="str">
        <x:v>—</x:v>
      </x:c>
      <x:c r="I11" s="21" t="str">
        <x:v>6 scenarios per positive price observation within 346,785 total cost-scenario rows</x:v>
      </x:c>
      <x:c r="J11" s="21" t="str">
        <x:v>None stated</x:v>
      </x:c>
      <x:c r="K11" s="21" t="str">
        <x:v>source missingness qualification</x:v>
      </x:c>
      <x:c r="L11" s="21" t="str">
        <x:v>None; no single down-payment assumption is selected silently.</x:v>
      </x:c>
      <x:c r="M11" s="21" t="str">
        <x:v>None beyond normal refresh and QA.</x:v>
      </x:c>
      <x:c r="N11" s="21" t="str">
        <x:v>FHFA's range is measured against loan amount, not sale price.</x:v>
      </x:c>
      <x:c r="O11" s="21" t="str">
        <x:v>analytics.homebuying_cost_scenarios</x:v>
      </x:c>
      <x:c r="P11" s="21" t="str">
        <x:v>2026-08-07</x:v>
      </x:c>
    </x:row>
    <x:row r="12" ht="72" customHeight="1">
      <x:c r="A12" s="20" t="n">
        <x:v>8</x:v>
      </x:c>
      <x:c r="B12" s="20" t="str">
        <x:v>total_cash_to_close_scenario</x:v>
      </x:c>
      <x:c r="C12" s="29" t="str">
        <x:v>Have</x:v>
      </x:c>
      <x:c r="D12" s="20" t="str">
        <x:v>monthly inputs</x:v>
      </x:c>
      <x:c r="E12" s="20" t="str">
        <x:v>monthly scenario</x:v>
      </x:c>
      <x:c r="F12" s="20" t="str">
        <x:v>Los Angeles County and postal ZIP</x:v>
      </x:c>
      <x:c r="G12" s="20" t="str">
        <x:v>2012-01-31</x:v>
      </x:c>
      <x:c r="H12" s="20" t="str">
        <x:v>2026-05-31</x:v>
      </x:c>
      <x:c r="I12" s="20" t="str">
        <x:v>346,785 scenario rows</x:v>
      </x:c>
      <x:c r="J12" s="20" t="str">
        <x:v>None stated</x:v>
      </x:c>
      <x:c r="K12" s="20" t="str">
        <x:v>source missingness qualification</x:v>
      </x:c>
      <x:c r="L12" s="20" t="str">
        <x:v>None; preserve every scenario key and exclusion note.</x:v>
      </x:c>
      <x:c r="M12" s="20" t="str">
        <x:v>None beyond normal refresh and QA.</x:v>
      </x:c>
      <x:c r="N12" s="20" t="str">
        <x:v>Prepaid escrow is excluded unless separately and explicitly modeled.</x:v>
      </x:c>
      <x:c r="O12" s="20" t="str">
        <x:v>analytics.homebuying_cost_scenarios</x:v>
      </x:c>
      <x:c r="P12" s="20" t="str">
        <x:v>2026-08-07</x:v>
      </x:c>
    </x:row>
    <x:row r="13" ht="72" customHeight="1">
      <x:c r="A13" s="21" t="n">
        <x:v>9</x:v>
      </x:c>
      <x:c r="B13" s="21" t="str">
        <x:v>ca_homeowners_avg_written_premium</x:v>
      </x:c>
      <x:c r="C13" s="29" t="str">
        <x:v>Have</x:v>
      </x:c>
      <x:c r="D13" s="21" t="str">
        <x:v>annual</x:v>
      </x:c>
      <x:c r="E13" s="21" t="str">
        <x:v>annual state control</x:v>
      </x:c>
      <x:c r="F13" s="21" t="str">
        <x:v>California</x:v>
      </x:c>
      <x:c r="G13" s="21" t="str">
        <x:v>2008-12-31</x:v>
      </x:c>
      <x:c r="H13" s="21" t="str">
        <x:v>2023-12-31</x:v>
      </x:c>
      <x:c r="I13" s="21" t="str">
        <x:v>16 non-null annual values</x:v>
      </x:c>
      <x:c r="J13" s="21" t="str">
        <x:v>None stated</x:v>
      </x:c>
      <x:c r="K13" s="21" t="str">
        <x:v>frequency/geography qualification</x:v>
      </x:c>
      <x:c r="L13" s="21" t="str">
        <x:v>None for the nominal annual base series.</x:v>
      </x:c>
      <x:c r="M13" s="21" t="str">
        <x:v>No credential is required; refresh only from the listed official CA DOI workbook.</x:v>
      </x:c>
      <x:c r="N13" s="21" t="str">
        <x:v>Cannot be labeled LA County or observed monthly insurance cost.</x:v>
      </x:c>
      <x:c r="O13" s="21" t="str">
        <x:v>analytics.fact_housing_observation | analytics.state_annual_controls</x:v>
      </x:c>
      <x:c r="P13" s="21" t="str">
        <x:v>2026-08-07</x:v>
      </x:c>
    </x:row>
    <x:row r="14" ht="72" customHeight="1">
      <x:c r="A14" s="20" t="n">
        <x:v>10</x:v>
      </x:c>
      <x:c r="B14" s="20" t="str">
        <x:v>ca_homeowners_avg_written_premium_real | ca_homeowners_avg_written_premium_yoy | ca_homeowners_avg_written_premium_monthly_control</x:v>
      </x:c>
      <x:c r="C14" s="25" t="str">
        <x:v>Partial</x:v>
      </x:c>
      <x:c r="D14" s="20" t="str">
        <x:v>annual</x:v>
      </x:c>
      <x:c r="E14" s="20" t="str">
        <x:v>annual plus flagged monthly state control</x:v>
      </x:c>
      <x:c r="F14" s="20" t="str">
        <x:v>California</x:v>
      </x:c>
      <x:c r="G14" s="20" t="str">
        <x:v>2008-01-31</x:v>
      </x:c>
      <x:c r="H14" s="20" t="str">
        <x:v>2023-12-31</x:v>
      </x:c>
      <x:c r="I14" s="20" t="str">
        <x:v>15 annual YoY values; 192 monthly-control values; 0 real-dollar values</x:v>
      </x:c>
      <x:c r="J14" s="20" t="str">
        <x:v>Real-dollar field unconstructed; implemented YoY/monthly-control values are complete for their documented coverage</x:v>
      </x:c>
      <x:c r="K14" s="20" t="str">
        <x:v>partial transformation; method decision</x:v>
      </x:c>
      <x:c r="L14" s="20" t="str">
        <x:v>Approve the exact already-listed CPI-U series and reference year for real dollars.</x:v>
      </x:c>
      <x:c r="M14" s="20" t="str">
        <x:v>No credential is needed; provide only the deflator/reference-year decision.</x:v>
      </x:c>
      <x:c r="N14" s="20" t="str">
        <x:v>The monthly calendar-year step control is interpolated, not an observed monthly insurance series or a release-date-aware vintage.</x:v>
      </x:c>
      <x:c r="O14" s="20" t="str">
        <x:v>analytics.state_annual_controls | analytics.state_monthly_controls</x:v>
      </x:c>
      <x:c r="P14" s="20" t="str">
        <x:v>2026-08-07</x:v>
      </x:c>
    </x:row>
    <x:row r="15" ht="72" customHeight="1">
      <x:c r="A15" s="21" t="n">
        <x:v>11</x:v>
      </x:c>
      <x:c r="B15" s="21" t="str">
        <x:v>noncontrolled_exposure_share</x:v>
      </x:c>
      <x:c r="C15" s="33" t="str">
        <x:v>Do not have</x:v>
      </x:c>
      <x:c r="D15" s="21" t="str">
        <x:v>annual/structural</x:v>
      </x:c>
      <x:c r="E15" s="21" t="str">
        <x:v>annual weight carried within year</x:v>
      </x:c>
      <x:c r="F15" s="21" t="str">
        <x:v>County/ZIP/jurisdiction target</x:v>
      </x:c>
      <x:c r="G15" s="21" t="str">
        <x:v>—</x:v>
      </x:c>
      <x:c r="H15" s="21" t="str">
        <x:v>—</x:v>
      </x:c>
      <x:c r="I15" s="21" t="str">
        <x:v>0</x:v>
      </x:c>
      <x:c r="J15" s="21" t="str">
        <x:v>None stated</x:v>
      </x:c>
      <x:c r="K15" s="21" t="str">
        <x:v>target absent; source specification</x:v>
      </x:c>
      <x:c r="L15" s="21" t="str">
        <x:v>Identify the exact source within the methodology's named parcel/building category, then code dated state/local rules, covered property types, dates, and exemptions.</x:v>
      </x:c>
      <x:c r="M15" s="21" t="str">
        <x:v>Do not add a provider outside the methodology; obtain source approval if the generic category is insufficient.</x:v>
      </x:c>
      <x:c r="N15" s="21" t="str">
        <x:v>Year built alone is insufficient; ACS-only exposure is a coarse proxy.</x:v>
      </x:c>
      <x:c r="O15" s="21" t="str">
        <x:v>Not configured</x:v>
      </x:c>
      <x:c r="P15" s="21" t="str">
        <x:v>2026-08-07</x:v>
      </x:c>
    </x:row>
    <x:row r="16" ht="72" customHeight="1">
      <x:c r="A16" s="20" t="n">
        <x:v>12</x:v>
      </x:c>
      <x:c r="B16" s="20" t="str">
        <x:v>exposure_adjusted_noncontrolled_rent_growth</x:v>
      </x:c>
      <x:c r="C16" s="33" t="str">
        <x:v>Do not have</x:v>
      </x:c>
      <x:c r="D16" s="20" t="str">
        <x:v>monthly outcome + annual/structural weight</x:v>
      </x:c>
      <x:c r="E16" s="20" t="str">
        <x:v>monthly modeled proxy</x:v>
      </x:c>
      <x:c r="F16" s="20" t="str">
        <x:v>County/ZIP target</x:v>
      </x:c>
      <x:c r="G16" s="20" t="str">
        <x:v>—</x:v>
      </x:c>
      <x:c r="H16" s="20" t="str">
        <x:v>—</x:v>
      </x:c>
      <x:c r="I16" s="20" t="str">
        <x:v>0 target; 125 county ZORI YoY inputs</x:v>
      </x:c>
      <x:c r="J16" s="20" t="str">
        <x:v>None stated</x:v>
      </x:c>
      <x:c r="K16" s="20" t="str">
        <x:v>inputs present/target unconstructed</x:v>
      </x:c>
      <x:c r="L16" s="20" t="str">
        <x:v>Complete and validate noncontrolled_exposure_share first, then multiply by ZORI YoY and retain the modeled-proxy label.</x:v>
      </x:c>
      <x:c r="M16" s="20" t="str">
        <x:v>Build the approved exposure layer before constructing this variable.</x:v>
      </x:c>
      <x:c r="N16" s="20" t="str">
        <x:v>Must never be described as observed noncontrolled rent growth.</x:v>
      </x:c>
      <x:c r="O16" s="20" t="str">
        <x:v>Not configured</x:v>
      </x:c>
      <x:c r="P16" s="20" t="str">
        <x:v>2026-08-07</x:v>
      </x:c>
    </x:row>
    <x:row r="17" ht="72" customHeight="1">
      <x:c r="A17" s="21" t="n">
        <x:v>13</x:v>
      </x:c>
      <x:c r="B17" s="21" t="str">
        <x:v>eviction_lab_filings_estimate_annual | eviction_lab_filings_rate_estimate_annual | eviction_lab_households_threatened_estimate_annual | eviction_lab_households_threatened_rate_estimate_annual</x:v>
      </x:c>
      <x:c r="C17" s="25" t="str">
        <x:v>Partial</x:v>
      </x:c>
      <x:c r="D17" s="21" t="str">
        <x:v>annual modeled</x:v>
      </x:c>
      <x:c r="E17" s="21" t="str">
        <x:v>annual control</x:v>
      </x:c>
      <x:c r="F17" s="21" t="str">
        <x:v>Los Angeles County</x:v>
      </x:c>
      <x:c r="G17" s="21" t="str">
        <x:v>2000-12-31</x:v>
      </x:c>
      <x:c r="H17" s="21" t="str">
        <x:v>2018-12-31</x:v>
      </x:c>
      <x:c r="I17" s="21" t="str">
        <x:v>19 non-null per variable</x:v>
      </x:c>
      <x:c r="J17" s="21" t="str">
        <x:v>None stated</x:v>
      </x:c>
      <x:c r="K17" s="21" t="str">
        <x:v>frequency mismatch; time coverage</x:v>
      </x:c>
      <x:c r="L17" s="21" t="str">
        <x:v>Within the already-listed Eviction Lab source, verify whether a later LA high-frequency product becomes available; otherwise preserve the annual modeled label and leave high frequency unsatisfied.</x:v>
      </x:c>
      <x:c r="M17" s="21" t="str">
        <x:v>Do not interpolate into observed monthly filings.</x:v>
      </x:c>
      <x:c r="N17" s="21" t="str">
        <x:v>Not LA ETS observations and not current high-frequency filings.</x:v>
      </x:c>
      <x:c r="O17" s="21" t="str">
        <x:v>analytics.fact_housing_observation | analytics.county_annual_controls</x:v>
      </x:c>
      <x:c r="P17" s="21" t="str">
        <x:v>2026-08-07</x:v>
      </x:c>
    </x:row>
    <x:row r="18" ht="72" customHeight="1">
      <x:c r="A18" s="20" t="n">
        <x:v>14</x:v>
      </x:c>
      <x:c r="B18" s="20" t="str">
        <x:v>new_apartments_completed_proxy</x:v>
      </x:c>
      <x:c r="C18" s="33" t="str">
        <x:v>Do not have</x:v>
      </x:c>
      <x:c r="D18" s="20" t="str">
        <x:v>monthly input</x:v>
      </x:c>
      <x:c r="E18" s="20" t="str">
        <x:v>monthly proxy target</x:v>
      </x:c>
      <x:c r="F18" s="20" t="str">
        <x:v>Los Angeles County</x:v>
      </x:c>
      <x:c r="G18" s="20" t="str">
        <x:v>—</x:v>
      </x:c>
      <x:c r="H18" s="20" t="str">
        <x:v>—</x:v>
      </x:c>
      <x:c r="I18" s="20" t="str">
        <x:v>0 target; 318 county input months</x:v>
      </x:c>
      <x:c r="J18" s="20" t="str">
        <x:v>None stated</x:v>
      </x:c>
      <x:c r="K18" s="20" t="str">
        <x:v>inputs present/target unconstructed</x:v>
      </x:c>
      <x:c r="L18" s="20" t="str">
        <x:v>Specify and document the lag distribution/window, then implement and validate the proxy from permits_5_plus_units.</x:v>
      </x:c>
      <x:c r="M18" s="20" t="str">
        <x:v>Approve a versioned lag model; do not relabel permits themselves as completions.</x:v>
      </x:c>
      <x:c r="N18" s="20" t="str">
        <x:v>Construction lags are uncertain and the result would be modeled.</x:v>
      </x:c>
      <x:c r="O18" s="20" t="str">
        <x:v>Not configured; input in analytics.fact_housing_observation</x:v>
      </x:c>
      <x:c r="P18" s="20" t="str">
        <x:v>2026-08-07</x:v>
      </x:c>
    </x:row>
    <x:row r="19" ht="72" customHeight="1">
      <x:c r="A19" s="21" t="n">
        <x:v>15</x:v>
      </x:c>
      <x:c r="B19" s="21" t="str">
        <x:v>multifamily_under_construction_proxy</x:v>
      </x:c>
      <x:c r="C19" s="33" t="str">
        <x:v>Do not have</x:v>
      </x:c>
      <x:c r="D19" s="21" t="str">
        <x:v>monthly input</x:v>
      </x:c>
      <x:c r="E19" s="21" t="str">
        <x:v>monthly proxy target</x:v>
      </x:c>
      <x:c r="F19" s="21" t="str">
        <x:v>Los Angeles County</x:v>
      </x:c>
      <x:c r="G19" s="21" t="str">
        <x:v>—</x:v>
      </x:c>
      <x:c r="H19" s="21" t="str">
        <x:v>—</x:v>
      </x:c>
      <x:c r="I19" s="21" t="str">
        <x:v>0 target; 318 county input months</x:v>
      </x:c>
      <x:c r="J19" s="21" t="str">
        <x:v>None stated</x:v>
      </x:c>
      <x:c r="K19" s="21" t="str">
        <x:v>inputs present/target unconstructed</x:v>
      </x:c>
      <x:c r="L19" s="21" t="str">
        <x:v>Approve the completion rule and rolling window, then construct the stock proxy from the existing BPS input.</x:v>
      </x:c>
      <x:c r="M19" s="21" t="str">
        <x:v>Document the stock-flow method before coding.</x:v>
      </x:c>
      <x:c r="N19" s="21" t="str">
        <x:v>Permits are authorizations and do not reveal actual construction status.</x:v>
      </x:c>
      <x:c r="O19" s="21" t="str">
        <x:v>Not configured; input in analytics.fact_housing_observation</x:v>
      </x:c>
      <x:c r="P19" s="21" t="str">
        <x:v>2026-08-07</x:v>
      </x:c>
    </x:row>
    <x:row r="20" ht="72" customHeight="1">
      <x:c r="A20" s="20" t="n">
        <x:v>16</x:v>
      </x:c>
      <x:c r="B20" s="20" t="str">
        <x:v>single_family_rental_construction_proxy</x:v>
      </x:c>
      <x:c r="C20" s="33" t="str">
        <x:v>Do not have</x:v>
      </x:c>
      <x:c r="D20" s="20" t="str">
        <x:v>monthly permit input + structural classifier</x:v>
      </x:c>
      <x:c r="E20" s="20" t="str">
        <x:v>proxy target</x:v>
      </x:c>
      <x:c r="F20" s="20" t="str">
        <x:v>LA tracts/county target</x:v>
      </x:c>
      <x:c r="G20" s="20" t="str">
        <x:v>—</x:v>
      </x:c>
      <x:c r="H20" s="20" t="str">
        <x:v>—</x:v>
      </x:c>
      <x:c r="I20" s="20" t="str">
        <x:v>0 target; 318 county permit input months</x:v>
      </x:c>
      <x:c r="J20" s="20" t="str">
        <x:v>None stated</x:v>
      </x:c>
      <x:c r="K20" s="20" t="str">
        <x:v>inputs present/target unconstructed; source specification</x:v>
      </x:c>
      <x:c r="L20" s="20" t="str">
        <x:v>Within the previously listed classifier concept, identify and approve the exact input source, then build and validate the tract classifier.</x:v>
      </x:c>
      <x:c r="M20" s="20" t="str">
        <x:v>Do not infer rental construction from permits alone.</x:v>
      </x:c>
      <x:c r="N20" s="20" t="str">
        <x:v>No public build-for-rent flag is currently loaded.</x:v>
      </x:c>
      <x:c r="O20" s="20" t="str">
        <x:v>Not configured</x:v>
      </x:c>
      <x:c r="P20" s="20" t="str">
        <x:v>2026-08-07</x:v>
      </x:c>
    </x:row>
    <x:row r="21" ht="72" customHeight="1">
      <x:c r="A21" s="21" t="n">
        <x:v>17</x:v>
      </x:c>
      <x:c r="B21" s="21" t="str">
        <x:v>net_change_occupied_apartments_annual | zcta_renter_occupied_units_vintage_change_annual</x:v>
      </x:c>
      <x:c r="C21" s="25" t="str">
        <x:v>Partial</x:v>
      </x:c>
      <x:c r="D21" s="21" t="str">
        <x:v>annual overlapping ACS five-year vintages</x:v>
      </x:c>
      <x:c r="E21" s="21" t="str">
        <x:v>annual vintage-to-vintage change proxy</x:v>
      </x:c>
      <x:c r="F21" s="21" t="str">
        <x:v>Los Angeles County and Census ZCTAs</x:v>
      </x:c>
      <x:c r="G21" s="21" t="str">
        <x:v>2011-12-31</x:v>
      </x:c>
      <x:c r="H21" s="21" t="str">
        <x:v>2024-12-31</x:v>
      </x:c>
      <x:c r="I21" s="21" t="str">
        <x:v>14 non-null county changes + 3,562 non-null ZCTA changes</x:v>
      </x:c>
      <x:c r="J21" s="21" t="str">
        <x:v>None stated</x:v>
      </x:c>
      <x:c r="K21" s="21" t="str">
        <x:v>frequency/definition mismatch</x:v>
      </x:c>
      <x:c r="L21" s="21" t="str">
        <x:v>Approve an explicit quarterly timing treatment only if the research design requires one; retain both completed annual controls at native ACS-vintage frequency.</x:v>
      </x:c>
      <x:c r="M21" s="21" t="str">
        <x:v>No credential is needed. Do not call the overlapping-vintage point difference an observed one-year or quarterly flow or a significance test.</x:v>
      </x:c>
      <x:c r="N21" s="21" t="str">
        <x:v>B25003 covers all renter-occupied units; adjacent ACS five-year estimates overlap for four survey years. Current/prior MOEs remain available, but no naive independent-MOE propagation is used.</x:v>
      </x:c>
      <x:c r="O21" s="21" t="str">
        <x:v>analytics.county_annual_controls | analytics.zcta_annual_controls</x:v>
      </x:c>
      <x:c r="P21" s="21" t="str">
        <x:v>2026-08-07</x:v>
      </x:c>
    </x:row>
    <x:row r="22" ht="72" customHeight="1">
      <x:c r="A22" s="20" t="n">
        <x:v>18</x:v>
      </x:c>
      <x:c r="B22" s="20" t="str">
        <x:v>county_annual_price_to_income_acs | zcta_annual_price_to_income_acs</x:v>
      </x:c>
      <x:c r="C22" s="25" t="str">
        <x:v>Partial</x:v>
      </x:c>
      <x:c r="D22" s="20" t="str">
        <x:v>annual overlapping ACS five-year estimates</x:v>
      </x:c>
      <x:c r="E22" s="20" t="str">
        <x:v>annual control</x:v>
      </x:c>
      <x:c r="F22" s="20" t="str">
        <x:v>Los Angeles County and Census ZCTAs</x:v>
      </x:c>
      <x:c r="G22" s="20" t="str">
        <x:v>2010-12-31</x:v>
      </x:c>
      <x:c r="H22" s="20" t="str">
        <x:v>2024-12-31</x:v>
      </x:c>
      <x:c r="I22" s="20" t="str">
        <x:v>15 non-null county values + 3,830 non-null ZCTA values</x:v>
      </x:c>
      <x:c r="J22" s="20" t="str">
        <x:v>Six ZCTA-vintage source-null ratios preserved</x:v>
      </x:c>
      <x:c r="K22" s="20" t="str">
        <x:v>frequency mismatch; preserved source gaps</x:v>
      </x:c>
      <x:c r="L22" s="20" t="str">
        <x:v>Decide whether the annual ratio remains an annual control or enters a separately labeled mixed-frequency model.</x:v>
      </x:c>
      <x:c r="M22" s="20" t="str">
        <x:v>No credential is needed. Do not silently label repeated annual values as observed quarterly.</x:v>
      </x:c>
      <x:c r="N22" s="20" t="str">
        <x:v>Annual ACS five-year estimates are overlapping pooled estimates, not quarterly observations.</x:v>
      </x:c>
      <x:c r="O22" s="20" t="str">
        <x:v>analytics.county_annual_controls | analytics.zcta_annual_controls</x:v>
      </x:c>
      <x:c r="P22" s="20" t="str">
        <x:v>2026-08-07</x:v>
      </x:c>
    </x:row>
    <x:row r="23" ht="72" customHeight="1">
      <x:c r="A23" s="21" t="n">
        <x:v>19</x:v>
      </x:c>
      <x:c r="B23" s="21" t="str">
        <x:v>natural_population_change_annual | natural_population_change_quarterly_allocated</x:v>
      </x:c>
      <x:c r="C23" s="29" t="str">
        <x:v>Have</x:v>
      </x:c>
      <x:c r="D23" s="21" t="str">
        <x:v>annual</x:v>
      </x:c>
      <x:c r="E23" s="21" t="str">
        <x:v>annual + modeled quarterly</x:v>
      </x:c>
      <x:c r="F23" s="21" t="str">
        <x:v>Los Angeles County</x:v>
      </x:c>
      <x:c r="G23" s="21" t="str">
        <x:v>2007-12-31</x:v>
      </x:c>
      <x:c r="H23" s="21" t="str">
        <x:v>2024-12-31</x:v>
      </x:c>
      <x:c r="I23" s="21" t="str">
        <x:v>18 annual; 72 quarterly modeled</x:v>
      </x:c>
      <x:c r="J23" s="21" t="str">
        <x:v>None stated</x:v>
      </x:c>
      <x:c r="K23" s="21" t="str">
        <x:v>frequency qualification</x:v>
      </x:c>
      <x:c r="L23" s="21" t="str">
        <x:v>None; retain the explicit imputation flag.</x:v>
      </x:c>
      <x:c r="M23" s="21" t="str">
        <x:v>Preserve annual provenance and modeled-quarter labeling.</x:v>
      </x:c>
      <x:c r="N23" s="21" t="str">
        <x:v>Quarterly values do not represent observed event timing.</x:v>
      </x:c>
      <x:c r="O23" s="21" t="str">
        <x:v>analytics.fact_housing_observation | analytics.county_annual_controls</x:v>
      </x:c>
      <x:c r="P23" s="21" t="str">
        <x:v>2026-08-07</x:v>
      </x:c>
    </x:row>
    <x:row r="24" ht="72" customHeight="1">
      <x:c r="A24" s="20" t="n">
        <x:v>20</x:v>
      </x:c>
      <x:c r="B24" s="20" t="str">
        <x:v>irs_soi_net_migration_exemptions</x:v>
      </x:c>
      <x:c r="C24" s="29" t="str">
        <x:v>Have</x:v>
      </x:c>
      <x:c r="D24" s="20" t="str">
        <x:v>annual filing-year interval</x:v>
      </x:c>
      <x:c r="E24" s="20" t="str">
        <x:v>annual control</x:v>
      </x:c>
      <x:c r="F24" s="20" t="str">
        <x:v>Los Angeles County</x:v>
      </x:c>
      <x:c r="G24" s="20" t="str">
        <x:v>2011-12-31</x:v>
      </x:c>
      <x:c r="H24" s="20" t="str">
        <x:v>2023-12-31</x:v>
      </x:c>
      <x:c r="I24" s="20" t="str">
        <x:v>13 non-null</x:v>
      </x:c>
      <x:c r="J24" s="20" t="str">
        <x:v>None stated</x:v>
      </x:c>
      <x:c r="K24" s="20" t="str">
        <x:v>none</x:v>
      </x:c>
      <x:c r="L24" s="20" t="str">
        <x:v>None</x:v>
      </x:c>
      <x:c r="M24" s="20" t="str">
        <x:v>None</x:v>
      </x:c>
      <x:c r="N24" s="20" t="str">
        <x:v>Domestic tax-return migration proxy; does not fully capture international migration or nonfilers.</x:v>
      </x:c>
      <x:c r="O24" s="20" t="str">
        <x:v>analytics.fact_housing_observation | analytics.county_annual_controls</x:v>
      </x:c>
      <x:c r="P24" s="20" t="str">
        <x:v>2026-08-07</x:v>
      </x:c>
    </x:row>
    <x:row r="25" ht="72" customHeight="1">
      <x:c r="A25" s="21" t="n">
        <x:v>21</x:v>
      </x:c>
      <x:c r="B25" s="21" t="str">
        <x:v>irs_soi_net_migration_returns</x:v>
      </x:c>
      <x:c r="C25" s="29" t="str">
        <x:v>Have</x:v>
      </x:c>
      <x:c r="D25" s="21" t="str">
        <x:v>annual filing-year interval</x:v>
      </x:c>
      <x:c r="E25" s="21" t="str">
        <x:v>annual control</x:v>
      </x:c>
      <x:c r="F25" s="21" t="str">
        <x:v>Los Angeles County</x:v>
      </x:c>
      <x:c r="G25" s="21" t="str">
        <x:v>2011-12-31</x:v>
      </x:c>
      <x:c r="H25" s="21" t="str">
        <x:v>2023-12-31</x:v>
      </x:c>
      <x:c r="I25" s="21" t="str">
        <x:v>13 non-null</x:v>
      </x:c>
      <x:c r="J25" s="21" t="str">
        <x:v>None stated</x:v>
      </x:c>
      <x:c r="K25" s="21" t="str">
        <x:v>none</x:v>
      </x:c>
      <x:c r="L25" s="21" t="str">
        <x:v>None</x:v>
      </x:c>
      <x:c r="M25" s="21" t="str">
        <x:v>None</x:v>
      </x:c>
      <x:c r="N25" s="21" t="str">
        <x:v>Returns approximate tax-filing units, not all households.</x:v>
      </x:c>
      <x:c r="O25" s="21" t="str">
        <x:v>analytics.fact_housing_observation | analytics.county_annual_controls</x:v>
      </x:c>
      <x:c r="P25" s="21" t="str">
        <x:v>2026-08-07</x:v>
      </x:c>
    </x:row>
    <x:row r="26" ht="72" customHeight="1">
      <x:c r="A26" s="20" t="n">
        <x:v>22</x:v>
      </x:c>
      <x:c r="B26" s="20" t="str">
        <x:v>irs_soi_net_migration_agi</x:v>
      </x:c>
      <x:c r="C26" s="29" t="str">
        <x:v>Have</x:v>
      </x:c>
      <x:c r="D26" s="20" t="str">
        <x:v>annual filing-year interval</x:v>
      </x:c>
      <x:c r="E26" s="20" t="str">
        <x:v>annual control</x:v>
      </x:c>
      <x:c r="F26" s="20" t="str">
        <x:v>Los Angeles County</x:v>
      </x:c>
      <x:c r="G26" s="20" t="str">
        <x:v>2011-12-31</x:v>
      </x:c>
      <x:c r="H26" s="20" t="str">
        <x:v>2023-12-31</x:v>
      </x:c>
      <x:c r="I26" s="20" t="str">
        <x:v>13 non-null</x:v>
      </x:c>
      <x:c r="J26" s="20" t="str">
        <x:v>None stated</x:v>
      </x:c>
      <x:c r="K26" s="20" t="str">
        <x:v>none</x:v>
      </x:c>
      <x:c r="L26" s="20" t="str">
        <x:v>None</x:v>
      </x:c>
      <x:c r="M26" s="20" t="str">
        <x:v>None</x:v>
      </x:c>
      <x:c r="N26" s="20" t="str">
        <x:v>AGI attached to tax-return migration is not wealth or post-move wages.</x:v>
      </x:c>
      <x:c r="O26" s="20" t="str">
        <x:v>analytics.fact_housing_observation | analytics.county_annual_controls</x:v>
      </x:c>
      <x:c r="P26" s="20" t="str">
        <x:v>2026-08-07</x:v>
      </x:c>
    </x:row>
    <x:row r="27" ht="72" customHeight="1">
      <x:c r="A27" s="21" t="n">
        <x:v>23</x:v>
      </x:c>
      <x:c r="B27" s="21" t="str">
        <x:v>net_exemption_rate</x:v>
      </x:c>
      <x:c r="C27" s="33" t="str">
        <x:v>Do not have</x:v>
      </x:c>
      <x:c r="D27" s="21" t="str">
        <x:v>annual</x:v>
      </x:c>
      <x:c r="E27" s="21" t="str">
        <x:v>annual control</x:v>
      </x:c>
      <x:c r="F27" s="21" t="str">
        <x:v>Los Angeles County</x:v>
      </x:c>
      <x:c r="G27" s="21" t="str">
        <x:v>—</x:v>
      </x:c>
      <x:c r="H27" s="21" t="str">
        <x:v>—</x:v>
      </x:c>
      <x:c r="I27" s="21" t="str">
        <x:v>0 target; 13 numerator values</x:v>
      </x:c>
      <x:c r="J27" s="21" t="str">
        <x:v>None stated</x:v>
      </x:c>
      <x:c r="K27" s="21" t="str">
        <x:v>missing denominator; source specification</x:v>
      </x:c>
      <x:c r="L27" s="21" t="str">
        <x:v>Approve the exact population series within the methodology's stated denominator requirement, acquire matched years, then calculate the annual rate.</x:v>
      </x:c>
      <x:c r="M27" s="21" t="str">
        <x:v>Do not divide the annual flow across 12 months.</x:v>
      </x:c>
      <x:c r="N27" s="21" t="str">
        <x:v>The document names the denominator concept but not a specific provider/series.</x:v>
      </x:c>
      <x:c r="O27" s="21" t="str">
        <x:v>Not configured</x:v>
      </x:c>
      <x:c r="P27" s="21" t="str">
        <x:v>2026-08-07</x:v>
      </x:c>
    </x:row>
    <x:row r="28" ht="72" customHeight="1">
      <x:c r="A28" s="20" t="n">
        <x:v>24</x:v>
      </x:c>
      <x:c r="B28" s="20" t="str">
        <x:v>hud_pit_overall_homeless_annual | hud_pit_sheltered_homeless_annual | hud_pit_unsheltered_homeless_annual</x:v>
      </x:c>
      <x:c r="C28" s="25" t="str">
        <x:v>Partial</x:v>
      </x:c>
      <x:c r="D28" s="20" t="str">
        <x:v>annual</x:v>
      </x:c>
      <x:c r="E28" s="20" t="str">
        <x:v>annual control</x:v>
      </x:c>
      <x:c r="F28" s="20" t="str">
        <x:v>Native CoC and explicit four-CoC project composite; never county</x:v>
      </x:c>
      <x:c r="G28" s="20" t="str">
        <x:v>2007-12-31</x:v>
      </x:c>
      <x:c r="H28" s="20" t="str">
        <x:v>2025-12-31</x:v>
      </x:c>
      <x:c r="I28" s="20" t="str">
        <x:v>19 composite years; 18 sheltered, 13 overall, and 13 unsheltered analytical values</x:v>
      </x:c>
      <x:c r="J28" s="20" t="str">
        <x:v>None stated</x:v>
      </x:c>
      <x:c r="K28" s="20" t="str">
        <x:v>frequency/geography mismatch; source completeness flags</x:v>
      </x:c>
      <x:c r="L28" s="20" t="str">
        <x:v>No credential is needed. Use the annual CoC/composite controls as labeled and leave the high-frequency target unsatisfied unless the methodology names another source.</x:v>
      </x:c>
      <x:c r="M28" s="20" t="str">
        <x:v>Do not fabricate quarterly observations.</x:v>
      </x:c>
      <x:c r="N28" s="20" t="str">
        <x:v>A credible public high-frequency series is unavailable under the listed method.</x:v>
      </x:c>
      <x:c r="O28" s="20" t="str">
        <x:v>analytics.fact_housing_observation | analytics.coc_annual_controls</x:v>
      </x:c>
      <x:c r="P28" s="20" t="str">
        <x:v>2026-08-07</x:v>
      </x:c>
    </x:row>
    <x:row r="29" ht="72" customHeight="1">
      <x:c r="A29" s="21" t="n">
        <x:v>25</x:v>
      </x:c>
      <x:c r="B29" s="21" t="str">
        <x:v>permits_1_unit</x:v>
      </x:c>
      <x:c r="C29" s="29" t="str">
        <x:v>Have</x:v>
      </x:c>
      <x:c r="D29" s="21" t="str">
        <x:v>monthly plus separate final annual</x:v>
      </x:c>
      <x:c r="E29" s="21" t="str">
        <x:v>monthly and annual benchmark</x:v>
      </x:c>
      <x:c r="F29" s="21" t="str">
        <x:v>Los Angeles County and California</x:v>
      </x:c>
      <x:c r="G29" s="21" t="str">
        <x:v>1990-12-31</x:v>
      </x:c>
      <x:c r="H29" s="21" t="str">
        <x:v>2026-06-30</x:v>
      </x:c>
      <x:c r="I29" s="21" t="str">
        <x:v>318 county monthly + 318 state monthly + 36 county annual-final after the configured June refresh</x:v>
      </x:c>
      <x:c r="J29" s="21" t="str">
        <x:v>None stated</x:v>
      </x:c>
      <x:c r="K29" s="21" t="str">
        <x:v>frequency/vintage qualification</x:v>
      </x:c>
      <x:c r="L29" s="21" t="str">
        <x:v>None; preserve preliminary/final and annual/monthly distinctions.</x:v>
      </x:c>
      <x:c r="M29" s="21" t="str">
        <x:v>Keep the concept labeled permits/authorizations.</x:v>
      </x:c>
      <x:c r="N29" s="21" t="str">
        <x:v>Permits are not starts, units under construction, or completions.</x:v>
      </x:c>
      <x:c r="O29" s="21" t="str">
        <x:v>analytics.fact_housing_observation | analytics.county_monthly_panel | analytics.county_annual_controls</x:v>
      </x:c>
      <x:c r="P29" s="21" t="str">
        <x:v>2026-08-07</x:v>
      </x:c>
    </x:row>
    <x:row r="30" ht="72" customHeight="1">
      <x:c r="A30" s="20" t="n">
        <x:v>26</x:v>
      </x:c>
      <x:c r="B30" s="20" t="str">
        <x:v>permits_1_unit_per_1000_housing_units</x:v>
      </x:c>
      <x:c r="C30" s="33" t="str">
        <x:v>Do not have</x:v>
      </x:c>
      <x:c r="D30" s="20" t="str">
        <x:v>source-dependent</x:v>
      </x:c>
      <x:c r="E30" s="20" t="str">
        <x:v>monthly or annual derived proxy</x:v>
      </x:c>
      <x:c r="F30" s="20" t="str">
        <x:v>County</x:v>
      </x:c>
      <x:c r="G30" s="20" t="str">
        <x:v>—</x:v>
      </x:c>
      <x:c r="H30" s="20" t="str">
        <x:v>—</x:v>
      </x:c>
      <x:c r="I30" s="20" t="str">
        <x:v>0 target</x:v>
      </x:c>
      <x:c r="J30" s="20" t="str">
        <x:v>None stated</x:v>
      </x:c>
      <x:c r="K30" s="20" t="str">
        <x:v>missing denominator; time coverage</x:v>
      </x:c>
      <x:c r="L30" s="20" t="str">
        <x:v>Obtain methodology approval for the exact denominator source, archive compatible historical vintages, then calculate the rate.</x:v>
      </x:c>
      <x:c r="M30" s="20" t="str">
        <x:v>Do not silently use the single 2024 ACS value for all months.</x:v>
      </x:c>
      <x:c r="N30" s="20" t="str">
        <x:v>Reporting/imputation and preliminary/final BPS flags must be retained.</x:v>
      </x:c>
      <x:c r="O30" s="20" t="str">
        <x:v>Not configured</x:v>
      </x:c>
      <x:c r="P30" s="20" t="str">
        <x:v>2026-08-07</x:v>
      </x:c>
    </x:row>
    <x:row r="31" ht="72" customHeight="1">
      <x:c r="A31" s="21" t="n">
        <x:v>27</x:v>
      </x:c>
      <x:c r="B31" s="21" t="str">
        <x:v>price_to_rent_ratio_zillow</x:v>
      </x:c>
      <x:c r="C31" s="29" t="str">
        <x:v>Have</x:v>
      </x:c>
      <x:c r="D31" s="21" t="str">
        <x:v>monthly</x:v>
      </x:c>
      <x:c r="E31" s="21" t="str">
        <x:v>monthly</x:v>
      </x:c>
      <x:c r="F31" s="21" t="str">
        <x:v>LA County and postal ZIP</x:v>
      </x:c>
      <x:c r="G31" s="21" t="str">
        <x:v>2015-01-31</x:v>
      </x:c>
      <x:c r="H31" s="21" t="str">
        <x:v>2026-05-31</x:v>
      </x:c>
      <x:c r="I31" s="21" t="str">
        <x:v>137 county + 17,866 ZIP non-null</x:v>
      </x:c>
      <x:c r="J31" s="21" t="str">
        <x:v>ZIP ZORI has substantial source gaps</x:v>
      </x:c>
      <x:c r="K31" s="21" t="str">
        <x:v>source geography/internal missingness qualification</x:v>
      </x:c>
      <x:c r="L31" s="21" t="str">
        <x:v>None; preserve matched-month positivity and source gaps.</x:v>
      </x:c>
      <x:c r="M31" s="21" t="str">
        <x:v>No implementation blocker; do not splice FHFA into this canonical series.</x:v>
      </x:c>
      <x:c r="N31" s="21" t="str">
        <x:v>Valuation/affordability ratio, not net rental yield.</x:v>
      </x:c>
      <x:c r="O31" s="21" t="str">
        <x:v>analytics.county_monthly_panel | analytics.zip_monthly_panel</x:v>
      </x:c>
      <x:c r="P31" s="21" t="str">
        <x:v>2026-08-07</x:v>
      </x:c>
    </x:row>
    <x:row r="32" ht="72" customHeight="1">
      <x:c r="A32" s="20" t="n">
        <x:v>28</x:v>
      </x:c>
      <x:c r="B32" s="20" t="str">
        <x:v>implied_gross_rent_yield</x:v>
      </x:c>
      <x:c r="C32" s="29" t="str">
        <x:v>Have</x:v>
      </x:c>
      <x:c r="D32" s="20" t="str">
        <x:v>monthly</x:v>
      </x:c>
      <x:c r="E32" s="20" t="str">
        <x:v>monthly</x:v>
      </x:c>
      <x:c r="F32" s="20" t="str">
        <x:v>County/ZIP target</x:v>
      </x:c>
      <x:c r="G32" s="20" t="str">
        <x:v>—</x:v>
      </x:c>
      <x:c r="H32" s="20" t="str">
        <x:v>—</x:v>
      </x:c>
      <x:c r="I32" s="20" t="str">
        <x:v>137 county + 17,866 ZIP non-null</x:v>
      </x:c>
      <x:c r="J32" s="20" t="str">
        <x:v>None stated</x:v>
      </x:c>
      <x:c r="K32" s="20" t="str">
        <x:v>source geography/internal missingness qualification</x:v>
      </x:c>
      <x:c r="L32" s="20" t="str">
        <x:v>None; preserve source gaps and the gross-yield label.</x:v>
      </x:c>
      <x:c r="M32" s="20" t="str">
        <x:v>No implementation blocker; keep the variable explicitly labeled gross.</x:v>
      </x:c>
      <x:c r="N32" s="20" t="str">
        <x:v>Does not subtract expenses, vacancy, taxes, or financing.</x:v>
      </x:c>
      <x:c r="O32" s="20" t="str">
        <x:v>analytics.county_monthly_panel | analytics.zip_monthly_panel</x:v>
      </x:c>
      <x:c r="P32" s="20" t="str">
        <x:v>2026-08-07</x:v>
      </x:c>
    </x:row>
    <x:row r="33" ht="72" customHeight="1">
      <x:c r="A33" s="21" t="n">
        <x:v>29</x:v>
      </x:c>
      <x:c r="B33" s="21" t="str">
        <x:v>rental_listing_inventory_monthly</x:v>
      </x:c>
      <x:c r="C33" s="33" t="str">
        <x:v>Do not have</x:v>
      </x:c>
      <x:c r="D33" s="21" t="str">
        <x:v>monthly target</x:v>
      </x:c>
      <x:c r="E33" s="21" t="str">
        <x:v>monthly target</x:v>
      </x:c>
      <x:c r="F33" s="21" t="str">
        <x:v>County/ZIP target</x:v>
      </x:c>
      <x:c r="G33" s="21" t="str">
        <x:v>—</x:v>
      </x:c>
      <x:c r="H33" s="21" t="str">
        <x:v>—</x:v>
      </x:c>
      <x:c r="I33" s="21" t="str">
        <x:v>0</x:v>
      </x:c>
      <x:c r="J33" s="21" t="str">
        <x:v>None stated</x:v>
      </x:c>
      <x:c r="K33" s="21" t="str">
        <x:v>target absent; no approved source</x:v>
      </x:c>
      <x:c r="L33" s="21" t="str">
        <x:v>Leave the variable missing unless the methodology itself is revised to name and approve a qualifying source.</x:v>
      </x:c>
      <x:c r="M33" s="21" t="str">
        <x:v>Do not substitute ZORI, for-sale listings, ACS, HVS, or HUD-USPS for the target.</x:v>
      </x:c>
      <x:c r="N33" s="21" t="str">
        <x:v>Separate vacancy/availability proxies do not satisfy this target.</x:v>
      </x:c>
      <x:c r="O33" s="21" t="str">
        <x:v>No configured ID</x:v>
      </x:c>
      <x:c r="P33" s="21" t="str">
        <x:v>2026-08-07</x:v>
      </x:c>
    </x:row>
    <x:row r="34" ht="72" customHeight="1">
      <x:c r="A34" s="20" t="n">
        <x:v>30</x:v>
      </x:c>
      <x:c r="B34" s="20" t="str">
        <x:v>acs_renter_occupied_units | acs_renter_occupied_units_moe</x:v>
      </x:c>
      <x:c r="C34" s="29" t="str">
        <x:v>Have</x:v>
      </x:c>
      <x:c r="D34" s="20" t="str">
        <x:v>annual ACS five-year</x:v>
      </x:c>
      <x:c r="E34" s="20" t="str">
        <x:v>annual</x:v>
      </x:c>
      <x:c r="F34" s="20" t="str">
        <x:v>LA County and Census ZCTAs</x:v>
      </x:c>
      <x:c r="G34" s="20" t="str">
        <x:v>2010-12-31</x:v>
      </x:c>
      <x:c r="H34" s="20" t="str">
        <x:v>2024-12-31</x:v>
      </x:c>
      <x:c r="I34" s="20" t="str">
        <x:v>3,851 non-null per estimate/MOE</x:v>
      </x:c>
      <x:c r="J34" s="20" t="str">
        <x:v>None stated</x:v>
      </x:c>
      <x:c r="K34" s="20" t="str">
        <x:v>provider geography gap in 2010</x:v>
      </x:c>
      <x:c r="L34" s="20" t="str">
        <x:v>None for active coverage; preserve the explicit 2010 ZCTA gap.</x:v>
      </x:c>
      <x:c r="M34" s="20" t="str">
        <x:v>No credential is needed for current use; preserve margins of error and ZCTA identity.</x:v>
      </x:c>
      <x:c r="N34" s="20" t="str">
        <x:v>ZCTAs are not postal ZIP codes.</x:v>
      </x:c>
      <x:c r="O34" s="20" t="str">
        <x:v>analytics.fact_housing_observation</x:v>
      </x:c>
      <x:c r="P34" s="20" t="str">
        <x:v>2026-08-07</x:v>
      </x:c>
    </x:row>
    <x:row r="35" ht="72" customHeight="1">
      <x:c r="A35" s="21" t="n">
        <x:v>31</x:v>
      </x:c>
      <x:c r="B35" s="21" t="str">
        <x:v>acs_for_rent_vacant_units | acs_for_rent_vacant_units_moe</x:v>
      </x:c>
      <x:c r="C35" s="29" t="str">
        <x:v>Have</x:v>
      </x:c>
      <x:c r="D35" s="21" t="str">
        <x:v>annual ACS five-year</x:v>
      </x:c>
      <x:c r="E35" s="21" t="str">
        <x:v>annual</x:v>
      </x:c>
      <x:c r="F35" s="21" t="str">
        <x:v>LA County and Census ZCTAs</x:v>
      </x:c>
      <x:c r="G35" s="21" t="str">
        <x:v>2010-12-31</x:v>
      </x:c>
      <x:c r="H35" s="21" t="str">
        <x:v>2024-12-31</x:v>
      </x:c>
      <x:c r="I35" s="21" t="str">
        <x:v>3,851 non-null per estimate/MOE</x:v>
      </x:c>
      <x:c r="J35" s="21" t="str">
        <x:v>None stated</x:v>
      </x:c>
      <x:c r="K35" s="21" t="str">
        <x:v>provider geography gap in 2010</x:v>
      </x:c>
      <x:c r="L35" s="21" t="str">
        <x:v>None for active coverage; preserve the explicit 2010 ZCTA gap.</x:v>
      </x:c>
      <x:c r="M35" s="21" t="str">
        <x:v>No credential is needed for current use; preserve margins of error and ZCTA identity.</x:v>
      </x:c>
      <x:c r="N35" s="21" t="str">
        <x:v>Survey estimate; reliability must be assessed with MOEs.</x:v>
      </x:c>
      <x:c r="O35" s="21" t="str">
        <x:v>analytics.fact_housing_observation</x:v>
      </x:c>
      <x:c r="P35" s="21" t="str">
        <x:v>2026-08-07</x:v>
      </x:c>
    </x:row>
    <x:row r="36" ht="72" customHeight="1">
      <x:c r="A36" s="20" t="n">
        <x:v>32</x:v>
      </x:c>
      <x:c r="B36" s="20" t="str">
        <x:v>acs_rental_availability_rate</x:v>
      </x:c>
      <x:c r="C36" s="29" t="str">
        <x:v>Have</x:v>
      </x:c>
      <x:c r="D36" s="20" t="str">
        <x:v>annual ACS five-year</x:v>
      </x:c>
      <x:c r="E36" s="20" t="str">
        <x:v>annual control</x:v>
      </x:c>
      <x:c r="F36" s="20" t="str">
        <x:v>Los Angeles County</x:v>
      </x:c>
      <x:c r="G36" s="20" t="str">
        <x:v>2010-12-31</x:v>
      </x:c>
      <x:c r="H36" s="20" t="str">
        <x:v>2024-12-31</x:v>
      </x:c>
      <x:c r="I36" s="20" t="str">
        <x:v>15 non-null county rates</x:v>
      </x:c>
      <x:c r="J36" s="20" t="str">
        <x:v>None stated</x:v>
      </x:c>
      <x:c r="K36" s="20" t="str">
        <x:v>frequency and geography qualification</x:v>
      </x:c>
      <x:c r="L36" s="20" t="str">
        <x:v>None for the annual county proxy; keep separate from USPS vacancy and true listing inventory.</x:v>
      </x:c>
      <x:c r="M36" s="20" t="str">
        <x:v>No credential is needed for current use; keep this field separate from USPS vacancy and true listing inventory.</x:v>
      </x:c>
      <x:c r="N36" s="20" t="str">
        <x:v>Annual availability proxy, not active rental-listing inventory.</x:v>
      </x:c>
      <x:c r="O36" s="20" t="str">
        <x:v>analytics.county_annual_controls</x:v>
      </x:c>
      <x:c r="P36" s="20" t="str">
        <x:v>2026-08-07</x:v>
      </x:c>
    </x:row>
    <x:row r="37" ht="72" customHeight="1">
      <x:c r="A37" s="21" t="n">
        <x:v>33</x:v>
      </x:c>
      <x:c r="B37" s="21" t="str">
        <x:v>usps_* residential vacancy/address variables</x:v>
      </x:c>
      <x:c r="C37" s="29" t="str">
        <x:v>Have</x:v>
      </x:c>
      <x:c r="D37" s="21" t="str">
        <x:v>quarterly</x:v>
      </x:c>
      <x:c r="E37" s="21" t="str">
        <x:v>quarterly</x:v>
      </x:c>
      <x:c r="F37" s="21" t="str">
        <x:v>California counties; LA tracts; modeled postal-ZIP county-parts</x:v>
      </x:c>
      <x:c r="G37" s="21" t="str">
        <x:v>2008-Q1</x:v>
      </x:c>
      <x:c r="H37" s="21" t="str">
        <x:v>2026-Q1</x:v>
      </x:c>
      <x:c r="I37" s="21" t="str">
        <x:v>221,117 row slots per each of 8 variables</x:v>
      </x:c>
      <x:c r="J37" s="21" t="str">
        <x:v>Provider/denominator missingness preserved</x:v>
      </x:c>
      <x:c r="K37" s="21" t="str">
        <x:v>access and internal missingness qualification</x:v>
      </x:c>
      <x:c r="L37" s="21" t="str">
        <x:v>None for implementation; preserve restrictions, missingness, and proxy labeling.</x:v>
      </x:c>
      <x:c r="M37" s="21" t="str">
        <x:v>Do not relabel the all-residential proxy as rental inventory.</x:v>
      </x:c>
      <x:c r="N37" s="21" t="str">
        <x:v>Cannot identify renter tenure; modeled ZIP county-parts are not Census ZCTAs.</x:v>
      </x:c>
      <x:c r="O37" s="21" t="str">
        <x:v>analytics.fact_housing_observation</x:v>
      </x:c>
      <x:c r="P37" s="21" t="str">
        <x:v>2026-08-07</x:v>
      </x:c>
    </x:row>
    <x:row r="38" ht="72" customHeight="1">
      <x:c r="A38" s="20" t="n">
        <x:v>34</x:v>
      </x:c>
      <x:c r="B38" s="20" t="str">
        <x:v>fhfa_hpi_*</x:v>
      </x:c>
      <x:c r="C38" s="29" t="str">
        <x:v>Have</x:v>
      </x:c>
      <x:c r="D38" s="20" t="str">
        <x:v>quarterly/annual</x:v>
      </x:c>
      <x:c r="E38" s="20" t="str">
        <x:v>quarterly/annual</x:v>
      </x:c>
      <x:c r="F38" s="20" t="str">
        <x:v>California; LA metropolitan division; LA County</x:v>
      </x:c>
      <x:c r="G38" s="20" t="str">
        <x:v>1975-12-31</x:v>
      </x:c>
      <x:c r="H38" s="20" t="str">
        <x:v>2026-Q1</x:v>
      </x:c>
      <x:c r="I38" s="20" t="str">
        <x:v>Non-null active series</x:v>
      </x:c>
      <x:c r="J38" s="20" t="str">
        <x:v>None stated</x:v>
      </x:c>
      <x:c r="K38" s="20" t="str">
        <x:v>none</x:v>
      </x:c>
      <x:c r="L38" s="20" t="str">
        <x:v>None</x:v>
      </x:c>
      <x:c r="M38" s="20" t="str">
        <x:v>None</x:v>
      </x:c>
      <x:c r="N38" s="20" t="str">
        <x:v>Index levels are not dollar home values.</x:v>
      </x:c>
      <x:c r="O38" s="20" t="str">
        <x:v>analytics.fact_housing_observation</x:v>
      </x:c>
      <x:c r="P38" s="20" t="str">
        <x:v>2026-08-07</x:v>
      </x:c>
    </x:row>
    <x:row r="39" ht="72" customHeight="1">
      <x:c r="A39" s="21" t="n">
        <x:v>35</x:v>
      </x:c>
      <x:c r="B39" s="21" t="str">
        <x:v>median_sale_price | redfin_zip_median_sale_price_nsa_rolling_3m</x:v>
      </x:c>
      <x:c r="C39" s="29" t="str">
        <x:v>Have</x:v>
      </x:c>
      <x:c r="D39" s="21" t="str">
        <x:v>monthly county; rolling 3 months ZIP</x:v>
      </x:c>
      <x:c r="E39" s="21" t="str">
        <x:v>same as native</x:v>
      </x:c>
      <x:c r="F39" s="21" t="str">
        <x:v>LA County and postal ZIP</x:v>
      </x:c>
      <x:c r="G39" s="21" t="str">
        <x:v>2012-01-31</x:v>
      </x:c>
      <x:c r="H39" s="21" t="str">
        <x:v>2026-05-31</x:v>
      </x:c>
      <x:c r="I39" s="21" t="str">
        <x:v>173 county non-null; ZIP series active</x:v>
      </x:c>
      <x:c r="J39" s="21" t="str">
        <x:v>None stated</x:v>
      </x:c>
      <x:c r="K39" s="21" t="str">
        <x:v>internal missingness qualification</x:v>
      </x:c>
      <x:c r="L39" s="21" t="str">
        <x:v>None; preserve provider nulls and rolling-window labels.</x:v>
      </x:c>
      <x:c r="M39" s="21" t="str">
        <x:v>Do not treat postal ZIPs as ZCTAs.</x:v>
      </x:c>
      <x:c r="N39" s="21" t="str">
        <x:v>ZIP observations overlap because they are rolling three months.</x:v>
      </x:c>
      <x:c r="O39" s="21" t="str">
        <x:v>analytics.fact_housing_observation | analytics county/ZIP panels</x:v>
      </x:c>
      <x:c r="P39" s="21" t="str">
        <x:v>2026-08-07</x:v>
      </x:c>
    </x:row>
    <x:row r="40" ht="72" customHeight="1">
      <x:c r="A40" s="20" t="n">
        <x:v>36</x:v>
      </x:c>
      <x:c r="B40" s="20" t="str">
        <x:v>active_inventory | redfin_zip_active_listings_rolling_3m</x:v>
      </x:c>
      <x:c r="C40" s="29" t="str">
        <x:v>Have</x:v>
      </x:c>
      <x:c r="D40" s="20" t="str">
        <x:v>monthly county; rolling 3 months ZIP</x:v>
      </x:c>
      <x:c r="E40" s="20" t="str">
        <x:v>same as native</x:v>
      </x:c>
      <x:c r="F40" s="20" t="str">
        <x:v>LA County and postal ZIP</x:v>
      </x:c>
      <x:c r="G40" s="20" t="str">
        <x:v>2012-01-31</x:v>
      </x:c>
      <x:c r="H40" s="20" t="str">
        <x:v>2026-05-31</x:v>
      </x:c>
      <x:c r="I40" s="20" t="str">
        <x:v>173 county; 23,008 ZIP non-null</x:v>
      </x:c>
      <x:c r="J40" s="20" t="str">
        <x:v>None stated</x:v>
      </x:c>
      <x:c r="K40" s="20" t="str">
        <x:v>none</x:v>
      </x:c>
      <x:c r="L40" s="20" t="str">
        <x:v>None</x:v>
      </x:c>
      <x:c r="M40" s="20" t="str">
        <x:v>None</x:v>
      </x:c>
      <x:c r="N40" s="20" t="str">
        <x:v>For-sale inventory only; never rental inventory.</x:v>
      </x:c>
      <x:c r="O40" s="20" t="str">
        <x:v>analytics.fact_housing_observation | analytics county/ZIP panels</x:v>
      </x:c>
      <x:c r="P40" s="20" t="str">
        <x:v>2026-08-07</x:v>
      </x:c>
    </x:row>
    <x:row r="41" ht="72" customHeight="1">
      <x:c r="A41" s="21" t="n">
        <x:v>37</x:v>
      </x:c>
      <x:c r="B41" s="21" t="str">
        <x:v>months_of_supply</x:v>
      </x:c>
      <x:c r="C41" s="29" t="str">
        <x:v>Have</x:v>
      </x:c>
      <x:c r="D41" s="21" t="str">
        <x:v>monthly</x:v>
      </x:c>
      <x:c r="E41" s="21" t="str">
        <x:v>monthly</x:v>
      </x:c>
      <x:c r="F41" s="21" t="str">
        <x:v>Los Angeles County</x:v>
      </x:c>
      <x:c r="G41" s="21" t="str">
        <x:v>2012-01-31</x:v>
      </x:c>
      <x:c r="H41" s="21" t="str">
        <x:v>2026-05-31</x:v>
      </x:c>
      <x:c r="I41" s="21" t="str">
        <x:v>173 non-null</x:v>
      </x:c>
      <x:c r="J41" s="21" t="str">
        <x:v>None stated</x:v>
      </x:c>
      <x:c r="K41" s="21" t="str">
        <x:v>none</x:v>
      </x:c>
      <x:c r="L41" s="21" t="str">
        <x:v>None</x:v>
      </x:c>
      <x:c r="M41" s="21" t="str">
        <x:v>None</x:v>
      </x:c>
      <x:c r="N41" s="21" t="str">
        <x:v>None stated</x:v>
      </x:c>
      <x:c r="O41" s="21" t="str">
        <x:v>analytics.fact_housing_observation | analytics.county_monthly_panel</x:v>
      </x:c>
      <x:c r="P41" s="21" t="str">
        <x:v>2026-08-07</x:v>
      </x:c>
    </x:row>
    <x:row r="42" ht="72" customHeight="1">
      <x:c r="A42" s="20" t="n">
        <x:v>38</x:v>
      </x:c>
      <x:c r="B42" s="20" t="str">
        <x:v>new_listings | redfin_zip_new_listings_rolling_3m</x:v>
      </x:c>
      <x:c r="C42" s="29" t="str">
        <x:v>Have</x:v>
      </x:c>
      <x:c r="D42" s="20" t="str">
        <x:v>monthly county; rolling 3 months ZIP</x:v>
      </x:c>
      <x:c r="E42" s="20" t="str">
        <x:v>same as native</x:v>
      </x:c>
      <x:c r="F42" s="20" t="str">
        <x:v>LA County and postal ZIP</x:v>
      </x:c>
      <x:c r="G42" s="20" t="str">
        <x:v>2012-01-31</x:v>
      </x:c>
      <x:c r="H42" s="20" t="str">
        <x:v>2026-05-31</x:v>
      </x:c>
      <x:c r="I42" s="20" t="str">
        <x:v>173 county; 22,978/23,009 ZIP non-null</x:v>
      </x:c>
      <x:c r="J42" s="20" t="str">
        <x:v>None stated</x:v>
      </x:c>
      <x:c r="K42" s="20" t="str">
        <x:v>internal missingness qualification</x:v>
      </x:c>
      <x:c r="L42" s="20" t="str">
        <x:v>None; preserve nulls and rolling-window labels.</x:v>
      </x:c>
      <x:c r="M42" s="20" t="str">
        <x:v>None</x:v>
      </x:c>
      <x:c r="N42" s="20" t="str">
        <x:v>For-sale listings, not rental listings.</x:v>
      </x:c>
      <x:c r="O42" s="20" t="str">
        <x:v>analytics.fact_housing_observation | analytics county/ZIP panels</x:v>
      </x:c>
      <x:c r="P42" s="20" t="str">
        <x:v>2026-08-07</x:v>
      </x:c>
    </x:row>
    <x:row r="43" ht="72" customHeight="1">
      <x:c r="A43" s="21" t="n">
        <x:v>39</x:v>
      </x:c>
      <x:c r="B43" s="21" t="str">
        <x:v>homes_sold | redfin_zip_homes_sold_rolling_3m</x:v>
      </x:c>
      <x:c r="C43" s="29" t="str">
        <x:v>Have</x:v>
      </x:c>
      <x:c r="D43" s="21" t="str">
        <x:v>monthly county; rolling 3 months ZIP</x:v>
      </x:c>
      <x:c r="E43" s="21" t="str">
        <x:v>same as native</x:v>
      </x:c>
      <x:c r="F43" s="21" t="str">
        <x:v>LA County and postal ZIP</x:v>
      </x:c>
      <x:c r="G43" s="21" t="str">
        <x:v>2012-01-31</x:v>
      </x:c>
      <x:c r="H43" s="21" t="str">
        <x:v>2026-05-31</x:v>
      </x:c>
      <x:c r="I43" s="21" t="str">
        <x:v>173 county; 22,946/23,009 ZIP non-null</x:v>
      </x:c>
      <x:c r="J43" s="21" t="str">
        <x:v>None stated</x:v>
      </x:c>
      <x:c r="K43" s="21" t="str">
        <x:v>internal missingness qualification</x:v>
      </x:c>
      <x:c r="L43" s="21" t="str">
        <x:v>None; preserve nulls and rolling-window labels.</x:v>
      </x:c>
      <x:c r="M43" s="21" t="str">
        <x:v>None</x:v>
      </x:c>
      <x:c r="N43" s="21" t="str">
        <x:v>ZIP observations overlap because they are rolling three months.</x:v>
      </x:c>
      <x:c r="O43" s="21" t="str">
        <x:v>analytics.fact_housing_observation | analytics county/ZIP panels</x:v>
      </x:c>
      <x:c r="P43" s="21" t="str">
        <x:v>2026-08-07</x:v>
      </x:c>
    </x:row>
    <x:row r="44" ht="72" customHeight="1">
      <x:c r="A44" s="20" t="n">
        <x:v>40</x:v>
      </x:c>
      <x:c r="B44" s="20" t="str">
        <x:v>mortgage_rate_30y_weekly | mortgage_rate_30y_monthly_*</x:v>
      </x:c>
      <x:c r="C44" s="29" t="str">
        <x:v>Have</x:v>
      </x:c>
      <x:c r="D44" s="20" t="str">
        <x:v>weekly</x:v>
      </x:c>
      <x:c r="E44" s="20" t="str">
        <x:v>weekly and monthly summaries</x:v>
      </x:c>
      <x:c r="F44" s="20" t="str">
        <x:v>National</x:v>
      </x:c>
      <x:c r="G44" s="20" t="str">
        <x:v>1971-04-02</x:v>
      </x:c>
      <x:c r="H44" s="20" t="str">
        <x:v>2026-06-25</x:v>
      </x:c>
      <x:c r="I44" s="20" t="str">
        <x:v>Active non-null weekly/monthly series</x:v>
      </x:c>
      <x:c r="J44" s="20" t="str">
        <x:v>None stated</x:v>
      </x:c>
      <x:c r="K44" s="20" t="str">
        <x:v>none</x:v>
      </x:c>
      <x:c r="L44" s="20" t="str">
        <x:v>None</x:v>
      </x:c>
      <x:c r="M44" s="20" t="str">
        <x:v>None</x:v>
      </x:c>
      <x:c r="N44" s="20" t="str">
        <x:v>National rate, not LA-specific.</x:v>
      </x:c>
      <x:c r="O44" s="20" t="str">
        <x:v>analytics.fact_housing_observation | analytics.county_monthly_panel</x:v>
      </x:c>
      <x:c r="P44" s="20" t="str">
        <x:v>2026-08-07</x:v>
      </x:c>
    </x:row>
    <x:row r="45" ht="72" customHeight="1">
      <x:c r="A45" s="21" t="n">
        <x:v>41</x:v>
      </x:c>
      <x:c r="B45" s="21" t="str">
        <x:v>zori_smoothed_sa</x:v>
      </x:c>
      <x:c r="C45" s="29" t="str">
        <x:v>Have</x:v>
      </x:c>
      <x:c r="D45" s="21" t="str">
        <x:v>monthly</x:v>
      </x:c>
      <x:c r="E45" s="21" t="str">
        <x:v>monthly</x:v>
      </x:c>
      <x:c r="F45" s="21" t="str">
        <x:v>LA County and postal ZIP</x:v>
      </x:c>
      <x:c r="G45" s="21" t="str">
        <x:v>2015-01-31</x:v>
      </x:c>
      <x:c r="H45" s="21" t="str">
        <x:v>2026-05-31</x:v>
      </x:c>
      <x:c r="I45" s="21" t="str">
        <x:v>137 county; 17,866/33,565 ZIP non-null</x:v>
      </x:c>
      <x:c r="J45" s="21" t="str">
        <x:v>15,699 ZIP source rows null</x:v>
      </x:c>
      <x:c r="K45" s="21" t="str">
        <x:v>geography coverage; internal missingness</x:v>
      </x:c>
      <x:c r="L45" s="21" t="str">
        <x:v>None for county; preserve ZIP source gaps and coverage flags.</x:v>
      </x:c>
      <x:c r="M45" s="21" t="str">
        <x:v>Do not fill missing ZIPs with county values.</x:v>
      </x:c>
      <x:c r="N45" s="21" t="str">
        <x:v>Asking-rent index; not inventory and not unit-weighted occupied-stock rent.</x:v>
      </x:c>
      <x:c r="O45" s="21" t="str">
        <x:v>analytics.fact_housing_observation | analytics county/ZIP panels</x:v>
      </x:c>
      <x:c r="P45" s="21" t="str">
        <x:v>2026-08-07</x:v>
      </x:c>
    </x:row>
    <x:row r="46" ht="72" customHeight="1">
      <x:c r="A46" s="20" t="n">
        <x:v>42</x:v>
      </x:c>
      <x:c r="B46" s="20" t="str">
        <x:v>zori_growth_mom | zori_growth_yoy</x:v>
      </x:c>
      <x:c r="C46" s="29" t="str">
        <x:v>Have</x:v>
      </x:c>
      <x:c r="D46" s="20" t="str">
        <x:v>monthly</x:v>
      </x:c>
      <x:c r="E46" s="20" t="str">
        <x:v>monthly</x:v>
      </x:c>
      <x:c r="F46" s="20" t="str">
        <x:v>Los Angeles County and postal ZIP</x:v>
      </x:c>
      <x:c r="G46" s="20" t="str">
        <x:v>2016-01-31</x:v>
      </x:c>
      <x:c r="H46" s="20" t="str">
        <x:v>2026-05-31</x:v>
      </x:c>
      <x:c r="I46" s="20" t="str">
        <x:v>County 136 MoM / 125 YoY; ZIP 10,195 MoM / 14,800 YoY</x:v>
      </x:c>
      <x:c r="J46" s="20" t="str">
        <x:v>Preserved source-geography and monthly gaps</x:v>
      </x:c>
      <x:c r="K46" s="20" t="str">
        <x:v>source geography/internal missingness qualification</x:v>
      </x:c>
      <x:c r="L46" s="20" t="str">
        <x:v>None; preserve exact-calendar source gaps.</x:v>
      </x:c>
      <x:c r="M46" s="20" t="str">
        <x:v>Do not infer rent-control status from ZORI growth alone.</x:v>
      </x:c>
      <x:c r="N46" s="20" t="str">
        <x:v>ZORI does not identify controlled units.</x:v>
      </x:c>
      <x:c r="O46" s="20" t="str">
        <x:v>analytics.county_monthly_panel | analytics.zip_monthly_panel</x:v>
      </x:c>
      <x:c r="P46" s="20" t="str">
        <x:v>2026-08-07</x:v>
      </x:c>
    </x:row>
    <x:row r="47" ht="72" customHeight="1">
      <x:c r="A47" s="21" t="n">
        <x:v>43</x:v>
      </x:c>
      <x:c r="B47" s="21" t="str">
        <x:v>hvs_rental_vacancy_rate_ca | hvs_rental_vacancy_rate_la_metro</x:v>
      </x:c>
      <x:c r="C47" s="29" t="str">
        <x:v>Have</x:v>
      </x:c>
      <x:c r="D47" s="21" t="str">
        <x:v>quarterly</x:v>
      </x:c>
      <x:c r="E47" s="21" t="str">
        <x:v>quarterly</x:v>
      </x:c>
      <x:c r="F47" s="21" t="str">
        <x:v>California and Los Angeles metro</x:v>
      </x:c>
      <x:c r="G47" s="21" t="str">
        <x:v>2005-Q1</x:v>
      </x:c>
      <x:c r="H47" s="21" t="str">
        <x:v>2026-Q1</x:v>
      </x:c>
      <x:c r="I47" s="21" t="str">
        <x:v>85 non-null per series</x:v>
      </x:c>
      <x:c r="J47" s="21" t="str">
        <x:v>None stated</x:v>
      </x:c>
      <x:c r="K47" s="21" t="str">
        <x:v>geography qualification</x:v>
      </x:c>
      <x:c r="L47" s="21" t="str">
        <x:v>None; retain the true source geography.</x:v>
      </x:c>
      <x:c r="M47" s="21" t="str">
        <x:v>Use only as vacancy context, not listing inventory.</x:v>
      </x:c>
      <x:c r="N47" s="21" t="str">
        <x:v>Not an LA County/ZIP rental-inventory count.</x:v>
      </x:c>
      <x:c r="O47" s="21" t="str">
        <x:v>analytics.fact_housing_observation</x:v>
      </x:c>
      <x:c r="P47" s="21" t="str">
        <x:v>2026-08-07</x:v>
      </x:c>
    </x:row>
    <x:row r="48" ht="72" customHeight="1">
      <x:c r="A48" s="20" t="n">
        <x:v>44</x:v>
      </x:c>
      <x:c r="B48" s="20" t="str">
        <x:v>permits_5_plus_units</x:v>
      </x:c>
      <x:c r="C48" s="29" t="str">
        <x:v>Have</x:v>
      </x:c>
      <x:c r="D48" s="20" t="str">
        <x:v>monthly</x:v>
      </x:c>
      <x:c r="E48" s="20" t="str">
        <x:v>monthly</x:v>
      </x:c>
      <x:c r="F48" s="20" t="str">
        <x:v>Los Angeles County and California</x:v>
      </x:c>
      <x:c r="G48" s="20" t="str">
        <x:v>2000-01-31</x:v>
      </x:c>
      <x:c r="H48" s="20" t="str">
        <x:v>2026-06-30</x:v>
      </x:c>
      <x:c r="I48" s="20" t="str">
        <x:v>318 county + 318 state</x:v>
      </x:c>
      <x:c r="J48" s="20" t="str">
        <x:v>None stated</x:v>
      </x:c>
      <x:c r="K48" s="20" t="str">
        <x:v>none</x:v>
      </x:c>
      <x:c r="L48" s="20" t="str">
        <x:v>None</x:v>
      </x:c>
      <x:c r="M48" s="20" t="str">
        <x:v>None</x:v>
      </x:c>
      <x:c r="N48" s="20" t="str">
        <x:v>Authorizations, not starts, construction, or completions.</x:v>
      </x:c>
      <x:c r="O48" s="20" t="str">
        <x:v>analytics.fact_housing_observation | analytics.county_monthly_panel</x:v>
      </x:c>
      <x:c r="P48" s="20" t="str">
        <x:v>2026-08-07</x:v>
      </x:c>
    </x:row>
    <x:row r="49" ht="72" customHeight="1">
      <x:c r="A49" s="21" t="n">
        <x:v>45</x:v>
      </x:c>
      <x:c r="B49" s="21" t="str">
        <x:v>sales_to_inventory_ratio | inventory_to_sales_ratio</x:v>
      </x:c>
      <x:c r="C49" s="29" t="str">
        <x:v>Have</x:v>
      </x:c>
      <x:c r="D49" s="21" t="str">
        <x:v>monthly inputs</x:v>
      </x:c>
      <x:c r="E49" s="21" t="str">
        <x:v>monthly proxy</x:v>
      </x:c>
      <x:c r="F49" s="21" t="str">
        <x:v>Los Angeles County</x:v>
      </x:c>
      <x:c r="G49" s="21" t="str">
        <x:v>2012-01-31</x:v>
      </x:c>
      <x:c r="H49" s="21" t="str">
        <x:v>2026-05-31</x:v>
      </x:c>
      <x:c r="I49" s="21" t="str">
        <x:v>173 non-null per ratio</x:v>
      </x:c>
      <x:c r="J49" s="21" t="str">
        <x:v>None stated</x:v>
      </x:c>
      <x:c r="K49" s="21" t="str">
        <x:v>definition qualification</x:v>
      </x:c>
      <x:c r="L49" s="21" t="str">
        <x:v>None for the listed proxy; a stock-based turnover measure would be a separately named future variable requiring an approved denominator.</x:v>
      </x:c>
      <x:c r="M49" s="21" t="str">
        <x:v>Keep the liquidity-ratio names and definition qualification.</x:v>
      </x:c>
      <x:c r="N49" s="21" t="str">
        <x:v>Not sales/housing-stock turnover.</x:v>
      </x:c>
      <x:c r="O49" s="21" t="str">
        <x:v>analytics.county_monthly_panel</x:v>
      </x:c>
      <x:c r="P49" s="21" t="str">
        <x:v>2026-08-07</x:v>
      </x:c>
    </x:row>
    <x:row r="50" ht="72" customHeight="1">
      <x:c r="A50" s="20" t="n">
        <x:v>46</x:v>
      </x:c>
      <x:c r="B50" s="20" t="str">
        <x:v>days_on_market | redfin_zip_median_days_on_market_rolling_3m</x:v>
      </x:c>
      <x:c r="C50" s="29" t="str">
        <x:v>Have</x:v>
      </x:c>
      <x:c r="D50" s="20" t="str">
        <x:v>monthly county; rolling 3 months ZIP</x:v>
      </x:c>
      <x:c r="E50" s="20" t="str">
        <x:v>same as native</x:v>
      </x:c>
      <x:c r="F50" s="20" t="str">
        <x:v>LA County and postal ZIP</x:v>
      </x:c>
      <x:c r="G50" s="20" t="str">
        <x:v>2012-01-31</x:v>
      </x:c>
      <x:c r="H50" s="20" t="str">
        <x:v>2026-05-31</x:v>
      </x:c>
      <x:c r="I50" s="20" t="str">
        <x:v>173 county; 22,946/23,009 ZIP non-null</x:v>
      </x:c>
      <x:c r="J50" s="20" t="str">
        <x:v>None stated</x:v>
      </x:c>
      <x:c r="K50" s="20" t="str">
        <x:v>internal missingness qualification</x:v>
      </x:c>
      <x:c r="L50" s="20" t="str">
        <x:v>None; preserve nulls and rolling-window labels.</x:v>
      </x:c>
      <x:c r="M50" s="20" t="str">
        <x:v>None</x:v>
      </x:c>
      <x:c r="N50" s="20" t="str">
        <x:v>ZIP observations overlap because they are rolling three months.</x:v>
      </x:c>
      <x:c r="O50" s="20" t="str">
        <x:v>analytics.fact_housing_observation | analytics county/ZIP panels</x:v>
      </x:c>
      <x:c r="P50" s="20" t="str">
        <x:v>2026-08-07</x:v>
      </x:c>
    </x:row>
    <x:row r="51" ht="72" customHeight="1">
      <x:c r="A51" s="21" t="n">
        <x:v>47</x:v>
      </x:c>
      <x:c r="B51" s="21" t="str">
        <x:v>price_drop_share</x:v>
      </x:c>
      <x:c r="C51" s="29" t="str">
        <x:v>Have</x:v>
      </x:c>
      <x:c r="D51" s="21" t="str">
        <x:v>monthly</x:v>
      </x:c>
      <x:c r="E51" s="21" t="str">
        <x:v>monthly</x:v>
      </x:c>
      <x:c r="F51" s="21" t="str">
        <x:v>Los Angeles County</x:v>
      </x:c>
      <x:c r="G51" s="21" t="str">
        <x:v>2012-01-31</x:v>
      </x:c>
      <x:c r="H51" s="21" t="str">
        <x:v>2026-05-31</x:v>
      </x:c>
      <x:c r="I51" s="21" t="str">
        <x:v>172/173 non-null</x:v>
      </x:c>
      <x:c r="J51" s="21" t="str">
        <x:v>1 provider-null month</x:v>
      </x:c>
      <x:c r="K51" s="21" t="str">
        <x:v>internal missingness</x:v>
      </x:c>
      <x:c r="L51" s="21" t="str">
        <x:v>None; preserve the provider null.</x:v>
      </x:c>
      <x:c r="M51" s="21" t="str">
        <x:v>Do not interpolate silently.</x:v>
      </x:c>
      <x:c r="N51" s="21" t="str">
        <x:v>None stated</x:v>
      </x:c>
      <x:c r="O51" s="21" t="str">
        <x:v>analytics.fact_housing_observation | analytics.county_monthly_panel</x:v>
      </x:c>
      <x:c r="P51" s="21" t="str">
        <x:v>2026-08-07</x:v>
      </x:c>
    </x:row>
    <x:row r="52" ht="72" customHeight="1">
      <x:c r="A52" s="20" t="n">
        <x:v>48</x:v>
      </x:c>
      <x:c r="B52" s="20" t="str">
        <x:v>ces_total_nonfarm_employment_sa</x:v>
      </x:c>
      <x:c r="C52" s="29" t="str">
        <x:v>Have</x:v>
      </x:c>
      <x:c r="D52" s="20" t="str">
        <x:v>monthly</x:v>
      </x:c>
      <x:c r="E52" s="20" t="str">
        <x:v>monthly</x:v>
      </x:c>
      <x:c r="F52" s="20" t="str">
        <x:v>Los Angeles metro</x:v>
      </x:c>
      <x:c r="G52" s="20" t="str">
        <x:v>2005-01-31</x:v>
      </x:c>
      <x:c r="H52" s="20" t="str">
        <x:v>2026-05-31</x:v>
      </x:c>
      <x:c r="I52" s="20" t="str">
        <x:v>257 non-null</x:v>
      </x:c>
      <x:c r="J52" s="20" t="str">
        <x:v>None stated</x:v>
      </x:c>
      <x:c r="K52" s="20" t="str">
        <x:v>geography qualification</x:v>
      </x:c>
      <x:c r="L52" s="20" t="str">
        <x:v>None; retain metro geography.</x:v>
      </x:c>
      <x:c r="M52" s="20" t="str">
        <x:v>None</x:v>
      </x:c>
      <x:c r="N52" s="20" t="str">
        <x:v>Metro series should not be relabeled county.</x:v>
      </x:c>
      <x:c r="O52" s="20" t="str">
        <x:v>analytics.fact_housing_observation | analytics.county_monthly_panel</x:v>
      </x:c>
      <x:c r="P52" s="20" t="str">
        <x:v>2026-08-07</x:v>
      </x:c>
    </x:row>
    <x:row r="53" ht="72" customHeight="1">
      <x:c r="A53" s="21" t="n">
        <x:v>49</x:v>
      </x:c>
      <x:c r="B53" s="21" t="str">
        <x:v>unemployment_rate</x:v>
      </x:c>
      <x:c r="C53" s="29" t="str">
        <x:v>Have</x:v>
      </x:c>
      <x:c r="D53" s="21" t="str">
        <x:v>monthly</x:v>
      </x:c>
      <x:c r="E53" s="21" t="str">
        <x:v>monthly</x:v>
      </x:c>
      <x:c r="F53" s="21" t="str">
        <x:v>Los Angeles County</x:v>
      </x:c>
      <x:c r="G53" s="21" t="str">
        <x:v>1990-01-31</x:v>
      </x:c>
      <x:c r="H53" s="21" t="str">
        <x:v>2026-05-31</x:v>
      </x:c>
      <x:c r="I53" s="21" t="str">
        <x:v>436/437 non-null</x:v>
      </x:c>
      <x:c r="J53" s="21" t="str">
        <x:v>1 provider-null month</x:v>
      </x:c>
      <x:c r="K53" s="21" t="str">
        <x:v>internal missingness</x:v>
      </x:c>
      <x:c r="L53" s="21" t="str">
        <x:v>None; preserve the provider null.</x:v>
      </x:c>
      <x:c r="M53" s="21" t="str">
        <x:v>Do not interpolate silently.</x:v>
      </x:c>
      <x:c r="N53" s="21" t="str">
        <x:v>County LAUS is not seasonally adjusted.</x:v>
      </x:c>
      <x:c r="O53" s="21" t="str">
        <x:v>analytics.fact_housing_observation | analytics.county_monthly_panel</x:v>
      </x:c>
      <x:c r="P53" s="21" t="str">
        <x:v>2026-08-07</x:v>
      </x:c>
    </x:row>
    <x:row r="54" ht="72" customHeight="1">
      <x:c r="A54" s="20" t="n">
        <x:v>50</x:v>
      </x:c>
      <x:c r="B54" s="20" t="str">
        <x:v>labor_force | employment | unemployment</x:v>
      </x:c>
      <x:c r="C54" s="29" t="str">
        <x:v>Have</x:v>
      </x:c>
      <x:c r="D54" s="20" t="str">
        <x:v>monthly</x:v>
      </x:c>
      <x:c r="E54" s="20" t="str">
        <x:v>monthly</x:v>
      </x:c>
      <x:c r="F54" s="20" t="str">
        <x:v>Los Angeles County</x:v>
      </x:c>
      <x:c r="G54" s="20" t="str">
        <x:v>1990-01-31</x:v>
      </x:c>
      <x:c r="H54" s="20" t="str">
        <x:v>2026-05-31</x:v>
      </x:c>
      <x:c r="I54" s="20" t="str">
        <x:v>436/437 non-null per field</x:v>
      </x:c>
      <x:c r="J54" s="20" t="str">
        <x:v>1 provider-null month per field</x:v>
      </x:c>
      <x:c r="K54" s="20" t="str">
        <x:v>internal missingness</x:v>
      </x:c>
      <x:c r="L54" s="20" t="str">
        <x:v>None; preserve provider nulls.</x:v>
      </x:c>
      <x:c r="M54" s="20" t="str">
        <x:v>Do not interpolate silently.</x:v>
      </x:c>
      <x:c r="N54" s="20" t="str">
        <x:v>County LAUS series are not seasonally adjusted.</x:v>
      </x:c>
      <x:c r="O54" s="20" t="str">
        <x:v>analytics.fact_housing_observation | analytics.county_monthly_panel</x:v>
      </x:c>
      <x:c r="P54" s="20" t="str">
        <x:v>2026-08-07</x:v>
      </x:c>
    </x:row>
    <x:row r="55" ht="72" customHeight="1">
      <x:c r="A55" s="21" t="n">
        <x:v>51</x:v>
      </x:c>
      <x:c r="B55" s="21" t="str">
        <x:v>bea_ca_personal_income_q_sa | bea_la_county_personal_income_annual</x:v>
      </x:c>
      <x:c r="C55" s="29" t="str">
        <x:v>Have</x:v>
      </x:c>
      <x:c r="D55" s="21" t="str">
        <x:v>quarterly state; annual county</x:v>
      </x:c>
      <x:c r="E55" s="21" t="str">
        <x:v>same as native / mixed-frequency control</x:v>
      </x:c>
      <x:c r="F55" s="21" t="str">
        <x:v>California and Los Angeles County</x:v>
      </x:c>
      <x:c r="G55" s="21" t="str">
        <x:v>1948-Q1</x:v>
      </x:c>
      <x:c r="H55" s="21" t="str">
        <x:v>2026-Q1</x:v>
      </x:c>
      <x:c r="I55" s="21" t="str">
        <x:v>Active state quarterly and county annual series</x:v>
      </x:c>
      <x:c r="J55" s="21" t="str">
        <x:v>None stated</x:v>
      </x:c>
      <x:c r="K55" s="21" t="str">
        <x:v>frequency/geography qualification</x:v>
      </x:c>
      <x:c r="L55" s="21" t="str">
        <x:v>None; retain the state-quarterly and county-annual observations at native frequency.</x:v>
      </x:c>
      <x:c r="M55" s="21" t="str">
        <x:v>Do not fabricate county-quarterly values.</x:v>
      </x:c>
      <x:c r="N55" s="21" t="str">
        <x:v>State quarterly values do not substitute for county quarterly observations.</x:v>
      </x:c>
      <x:c r="O55" s="21" t="str">
        <x:v>analytics.fact_housing_observation</x:v>
      </x:c>
      <x:c r="P55" s="21" t="str">
        <x:v>2026-08-07</x:v>
      </x:c>
    </x:row>
    <x:row r="56" ht="72" customHeight="1">
      <x:c r="A56" s="20" t="n">
        <x:v>52</x:v>
      </x:c>
      <x:c r="B56" s="20" t="str">
        <x:v>cpi_u_all_items_la_nsa</x:v>
      </x:c>
      <x:c r="C56" s="29" t="str">
        <x:v>Have</x:v>
      </x:c>
      <x:c r="D56" s="20" t="str">
        <x:v>published monthly/bimonthly history</x:v>
      </x:c>
      <x:c r="E56" s="20" t="str">
        <x:v>source frequency</x:v>
      </x:c>
      <x:c r="F56" s="20" t="str">
        <x:v>Los Angeles metro</x:v>
      </x:c>
      <x:c r="G56" s="20" t="str">
        <x:v>1914-12-31</x:v>
      </x:c>
      <x:c r="H56" s="20" t="str">
        <x:v>2026-05-31</x:v>
      </x:c>
      <x:c r="I56" s="20" t="str">
        <x:v>1,094/1,095 non-null</x:v>
      </x:c>
      <x:c r="J56" s="20" t="str">
        <x:v>1 provider-null observation</x:v>
      </x:c>
      <x:c r="K56" s="20" t="str">
        <x:v>internal missingness; geography qualification</x:v>
      </x:c>
      <x:c r="L56" s="20" t="str">
        <x:v>None; preserve the provider null and metro label.</x:v>
      </x:c>
      <x:c r="M56" s="20" t="str">
        <x:v>Do not relabel metro CPI as county CPI.</x:v>
      </x:c>
      <x:c r="N56" s="20" t="str">
        <x:v>None stated</x:v>
      </x:c>
      <x:c r="O56" s="20" t="str">
        <x:v>analytics.fact_housing_observation | analytics.county_monthly_panel</x:v>
      </x:c>
      <x:c r="P56" s="20" t="str">
        <x:v>2026-08-07</x:v>
      </x:c>
    </x:row>
  </x:sheetData>
  <x:mergeCells>
    <x:mergeCell ref="A1:P1"/>
    <x:mergeCell ref="A2:P2"/>
    <x:mergeCell ref="A3:P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 hidden="0" customWidth="1"/>
    <x:col min="2" max="2" width="32" hidden="0" customWidth="1"/>
    <x:col min="3" max="3" width="27" hidden="0" customWidth="1"/>
    <x:col min="4" max="4" width="48" hidden="0" customWidth="1"/>
    <x:col min="5" max="5" width="58" hidden="0" customWidth="1"/>
    <x:col min="6" max="6" width="28" hidden="0" customWidth="1"/>
    <x:col min="7" max="7" width="52" hidden="0" customWidth="1"/>
  </x:cols>
  <x:sheetData>
    <x:row r="1" ht="30" customHeight="1">
      <x:c r="A1" s="3" t="str">
        <x:v>Source Family Register</x:v>
      </x:c>
      <x:c r="B1" s="3"/>
      <x:c r="C1" s="3"/>
      <x:c r="D1" s="3"/>
      <x:c r="E1" s="3"/>
      <x:c r="F1" s="3"/>
      <x:c r="G1" s="3"/>
    </x:row>
    <x:row r="2" ht="34" customHeight="1">
      <x:c r="A2" s="7" t="str">
        <x:v>Latest-document sources, earlier sources, and current repository-only sources are all shown, with authority stated at the variable-use level.</x:v>
      </x:c>
      <x:c r="B2" s="7"/>
      <x:c r="C2" s="7"/>
      <x:c r="D2" s="7"/>
      <x:c r="E2" s="7"/>
      <x:c r="F2" s="7"/>
      <x:c r="G2" s="7"/>
    </x:row>
    <x:row r="3" ht="38" customHeight="1">
      <x:c r="A3" s="11" t="str">
        <x:v>A provider appearing in the document for one construction does not authorize it for another. Blank URL means the document names a category but does not specify an exact provider; that is a blocker, not permission to add one.</x:v>
      </x:c>
      <x:c r="B3" s="11"/>
      <x:c r="C3" s="11"/>
      <x:c r="D3" s="11"/>
      <x:c r="E3" s="11"/>
      <x:c r="F3" s="11"/>
      <x:c r="G3" s="11"/>
    </x:row>
    <x:row r="4" ht="38" customHeight="1">
      <x:c r="A4" s="17" t="str">
        <x:v>#</x:v>
      </x:c>
      <x:c r="B4" s="17" t="str">
        <x:v>Source family</x:v>
      </x:c>
      <x:c r="C4" s="17" t="str">
        <x:v>Role</x:v>
      </x:c>
      <x:c r="D4" s="17" t="str">
        <x:v>Exact variable use</x:v>
      </x:c>
      <x:c r="E4" s="17" t="str">
        <x:v>Exact source URL</x:v>
      </x:c>
      <x:c r="F4" s="17" t="str">
        <x:v>Authority</x:v>
      </x:c>
      <x:c r="G4" s="17" t="str">
        <x:v>Usage restriction</x:v>
      </x:c>
    </x:row>
    <x:row r="5" ht="70" customHeight="1">
      <x:c r="A5" s="21" t="n">
        <x:v>1</x:v>
      </x:c>
      <x:c r="B5" s="21" t="str">
        <x:v>Redfin Data Center</x:v>
      </x:c>
      <x:c r="C5" s="21" t="str">
        <x:v>Latest-doc construction input + earlier source</x:v>
      </x:c>
      <x:c r="D5" s="21" t="str">
        <x:v>Latest document: median sale price for closing-cost scenarios only. Earlier scope: sale price, for-sale metrics, and buyer-cost scenarios.</x:v>
      </x:c>
      <x:c r="E5" s="21" t="str">
        <x:v>https://www.redfin.com/news/data-center/downloads/</x:v>
      </x:c>
      <x:c r="F5" s="21" t="str">
        <x:v>Variable-specific: latest methodology only for the median-sale-price closing-cost input; all other uses are earlier-scope</x:v>
      </x:c>
      <x:c r="G5" s="21" t="str">
        <x:v>Provider appearance does not authorize rental inventory or every Redfin-based construction. ZIP key metrics remain rolling-three-month observations. Current Redfin ZIP fact rows have a blank source_id lineage defect; catalog/config/raw lineage identifies redfin_zip_monthly.</x:v>
      </x:c>
    </x:row>
    <x:row r="6" ht="70" customHeight="1">
      <x:c r="A6" s="20" t="n">
        <x:v>2</x:v>
      </x:c>
      <x:c r="B6" s="20" t="str">
        <x:v>CFPB closing-cost explanation</x:v>
      </x:c>
      <x:c r="C6" s="20" t="str">
        <x:v>Methodology guidance</x:v>
      </x:c>
      <x:c r="D6" s="20" t="str">
        <x:v>Closing-cost interpretation and cash-to-close terminology</x:v>
      </x:c>
      <x:c r="E6" s="20" t="str">
        <x:v>https://www.consumerfinance.gov/owning-a-home/closing-disclosure/</x:v>
      </x:c>
      <x:c r="F6" s="20" t="str">
        <x:v>Latest methodology</x:v>
      </x:c>
      <x:c r="G6" s="20" t="str">
        <x:v>Guidance/benchmark only; not observed local monthly closing-cost data.</x:v>
      </x:c>
    </x:row>
    <x:row r="7" ht="70" customHeight="1">
      <x:c r="A7" s="21" t="n">
        <x:v>3</x:v>
      </x:c>
      <x:c r="B7" s="21" t="str">
        <x:v>FHFA closing-cost discussion</x:v>
      </x:c>
      <x:c r="C7" s="21" t="str">
        <x:v>Range guidance</x:v>
      </x:c>
      <x:c r="D7" s="21" t="str">
        <x:v>Loan-based closing-cost sensitivity</x:v>
      </x:c>
      <x:c r="E7" s="21" t="str">
        <x:v>https://www.fhfa.gov/blog/insights/opening-new-doors-overcoming-obstacles-to-attain-affordable-homeownership</x:v>
      </x:c>
      <x:c r="F7" s="21" t="str">
        <x:v>Latest methodology</x:v>
      </x:c>
      <x:c r="G7" s="21" t="str">
        <x:v>Supplies 3%-6% loan-amount guidance, not a local observed cost series.</x:v>
      </x:c>
    </x:row>
    <x:row r="8" ht="70" customHeight="1">
      <x:c r="A8" s="20" t="n">
        <x:v>4</x:v>
      </x:c>
      <x:c r="B8" s="20" t="str">
        <x:v>CFPB mortgage market report</x:v>
      </x:c>
      <x:c r="C8" s="20" t="str">
        <x:v>Benchmark only</x:v>
      </x:c>
      <x:c r="D8" s="20" t="str">
        <x:v>National borrower-cost reasonableness check</x:v>
      </x:c>
      <x:c r="E8" s="20" t="str">
        <x:v>https://www.consumerfinance.gov/about-us/newsroom/cfpb-mortgage-report-finds-jumps-in-closing-costs-and-denials-for-insufficient-income-growing-proportion-of-cash-out-refinances/</x:v>
      </x:c>
      <x:c r="F8" s="20" t="str">
        <x:v>Latest methodology</x:v>
      </x:c>
      <x:c r="G8" s="20" t="str">
        <x:v>Do not use as a county-month series.</x:v>
      </x:c>
    </x:row>
    <x:row r="9" ht="70" customHeight="1">
      <x:c r="A9" s="21" t="n">
        <x:v>5</x:v>
      </x:c>
      <x:c r="B9" s="21" t="str">
        <x:v>CFPB/FFIEC HMDA Modified LAR</x:v>
      </x:c>
      <x:c r="C9" s="21" t="str">
        <x:v>Current Version A source; not latest-document authorized</x:v>
      </x:c>
      <x:c r="D9" s="21" t="str">
        <x:v>Observed annual down-payment rate, flow, and threshold-share benchmarks</x:v>
      </x:c>
      <x:c r="E9" s="21" t="str">
        <x:v>https://ffiec.cfpb.gov/data-publication/modified-lar/2025</x:v>
      </x:c>
      <x:c r="F9" s="21" t="str">
        <x:v>Not listed anywhere in LA_CA_Housing_Additional_Variables_Methodology.docx; present only in the repository Version A configuration</x:v>
      </x:c>
      <x:c r="G9" s="21" t="str">
        <x:v>The official 2025 combined header ZIP is active, but all 28 HMDA IDs must be labeled outside the latest-document source boundary. It cannot count as compliant with that document unless another user-approved methodology explicitly authorizes HMDA.</x:v>
      </x:c>
    </x:row>
    <x:row r="10" ht="70" customHeight="1">
      <x:c r="A10" s="20" t="n">
        <x:v>6</x:v>
      </x:c>
      <x:c r="B10" s="20" t="str">
        <x:v>Census ACS finance tables / ACS PUMS / tract-to-PUMA crosswalk</x:v>
      </x:c>
      <x:c r="C10" s="20" t="str">
        <x:v>Current Version A inputs; not latest-document authorized</x:v>
      </x:c>
      <x:c r="D10" s="20" t="str">
        <x:v>Owner value, mortgage status/cost, tenure, PUMS finance calibration, and tract-to-PUMA support for the repository finance benchmark</x:v>
      </x:c>
      <x:c r="E10" s="20" t="str">
        <x:v>https://www.census.gov/programs-surveys/acs/microdata.html</x:v>
      </x:c>
      <x:c r="F10" s="20" t="str">
        <x:v>Repository Version A configuration and earlier finance methodology; not assigned to the Version A variables in the latest Additional Variables document</x:v>
      </x:c>
      <x:c r="G10" s="20" t="str">
        <x:v>Do not infer authorization from the latest document's separate ACS B25003/B25004 rental-proxy role.</x:v>
      </x:c>
    </x:row>
    <x:row r="11" ht="70" customHeight="1">
      <x:c r="A11" s="21" t="n">
        <x:v>7</x:v>
      </x:c>
      <x:c r="B11" s="21" t="str">
        <x:v>FHFA National Mortgage Database (NMDB)</x:v>
      </x:c>
      <x:c r="C11" s="21" t="str">
        <x:v>Planned/calibration input; not latest-document authorized</x:v>
      </x:c>
      <x:c r="D11" s="21" t="str">
        <x:v>Compatible California mortgage-UPB control for Version A calibrated debt/equity targets</x:v>
      </x:c>
      <x:c r="E11" s="21" t="str">
        <x:v>https://www.fhfa.gov/data/national-mortgage-database-aggregate-data</x:v>
      </x:c>
      <x:c r="F11" s="21" t="str">
        <x:v>Repository Version A configuration and earlier finance methodology; absent from the latest Additional Variables document</x:v>
      </x:c>
      <x:c r="G11" s="21" t="str">
        <x:v>The acquired TOT_UPB control has an incompatible all-active-mortgages universe; 12 calibrated IDs remain schema-only. Do not use it silently.</x:v>
      </x:c>
    </x:row>
    <x:row r="12" ht="70" customHeight="1">
      <x:c r="A12" s="20" t="n">
        <x:v>8</x:v>
      </x:c>
      <x:c r="B12" s="20" t="str">
        <x:v>BLS CPI-U U.S. city average</x:v>
      </x:c>
      <x:c r="C12" s="20" t="str">
        <x:v>Current Version A deflator; not latest-document authorized for Version A</x:v>
      </x:c>
      <x:c r="D12" s="20" t="str">
        <x:v>Real-equity lineage in the repository finance benchmark</x:v>
      </x:c>
      <x:c r="E12" s="20" t="str">
        <x:v>https://www.bls.gov/cpi/data.htm</x:v>
      </x:c>
      <x:c r="F12" s="20" t="str">
        <x:v>Repository Version A configuration; latest document names only a generic optional CPI-U concept for closing costs/insurance and does not assign this exact series to Version A</x:v>
      </x:c>
      <x:c r="G12" s="20" t="str">
        <x:v>Keep the exact series and reference convention explicit; provider appearance elsewhere is not blanket authorization.</x:v>
      </x:c>
    </x:row>
    <x:row r="13" ht="70" customHeight="1">
      <x:c r="A13" s="21" t="n">
        <x:v>9</x:v>
      </x:c>
      <x:c r="B13" s="21" t="str">
        <x:v>Census Building Permits Survey</x:v>
      </x:c>
      <x:c r="C13" s="21" t="str">
        <x:v>Latest-doc source for one-unit permits + earlier source</x:v>
      </x:c>
      <x:c r="D13" s="21" t="str">
        <x:v>Latest document: one-unit permits/authorizations. Earlier scope: total, 2-4-unit, and 5+-unit permits.</x:v>
      </x:c>
      <x:c r="E13" s="21" t="str">
        <x:v>https://www.census.gov/construction/bps/</x:v>
      </x:c>
      <x:c r="F13" s="21" t="str">
        <x:v>Variable-specific: latest methodology only for one-unit permits; other permit variables are earlier-scope</x:v>
      </x:c>
      <x:c r="G13" s="21" t="str">
        <x:v>Permits are authorizations, not starts, construction, or completions.</x:v>
      </x:c>
    </x:row>
    <x:row r="14" ht="70" customHeight="1">
      <x:c r="A14" s="20" t="n">
        <x:v>10</x:v>
      </x:c>
      <x:c r="B14" s="20" t="str">
        <x:v>BPS annual county/place data</x:v>
      </x:c>
      <x:c r="C14" s="20" t="str">
        <x:v>Final annual benchmark</x:v>
      </x:c>
      <x:c r="D14" s="20" t="str">
        <x:v>Final annual county/place permit totals</x:v>
      </x:c>
      <x:c r="E14" s="20" t="str">
        <x:v>https://www.census.gov/construction/bps/stateannual.html</x:v>
      </x:c>
      <x:c r="F14" s="20" t="str">
        <x:v>Latest methodology</x:v>
      </x:c>
      <x:c r="G14" s="20" t="str">
        <x:v>Keep final annual benchmarks distinct from preliminary monthly observations.</x:v>
      </x:c>
    </x:row>
    <x:row r="15" ht="70" customHeight="1">
      <x:c r="A15" s="21" t="n">
        <x:v>11</x:v>
      </x:c>
      <x:c r="B15" s="21" t="str">
        <x:v>IRS SOI migration data</x:v>
      </x:c>
      <x:c r="C15" s="21" t="str">
        <x:v>Construction source</x:v>
      </x:c>
      <x:c r="D15" s="21" t="str">
        <x:v>Net migration exemptions, returns, and AGI</x:v>
      </x:c>
      <x:c r="E15" s="21" t="str">
        <x:v>https://www.irs.gov/statistics/soi-tax-stats-migration-data</x:v>
      </x:c>
      <x:c r="F15" s="21" t="str">
        <x:v>Latest methodology</x:v>
      </x:c>
      <x:c r="G15" s="21" t="str">
        <x:v>Annual filing-year intervals; not observed monthly migration. The 2022-2023 interval is flagged as the enhanced-matching/new-series methodology break.</x:v>
      </x:c>
    </x:row>
    <x:row r="16" ht="70" customHeight="1">
      <x:c r="A16" s="20" t="n">
        <x:v>12</x:v>
      </x:c>
      <x:c r="B16" s="20" t="str">
        <x:v>IRS geographic documentation</x:v>
      </x:c>
      <x:c r="C16" s="20" t="str">
        <x:v>Documentation</x:v>
      </x:c>
      <x:c r="D16" s="20" t="str">
        <x:v>Interpretation of returns, exemptions, AGI, suppression, and geography</x:v>
      </x:c>
      <x:c r="E16" s="20" t="str">
        <x:v>https://www.irs.gov/statistics/soi-tax-stats-data-by-geographic-area</x:v>
      </x:c>
      <x:c r="F16" s="20" t="str">
        <x:v>Latest methodology</x:v>
      </x:c>
      <x:c r="G16" s="20" t="str">
        <x:v>Documentation only.</x:v>
      </x:c>
    </x:row>
    <x:row r="17" ht="70" customHeight="1">
      <x:c r="A17" s="21" t="n">
        <x:v>13</x:v>
      </x:c>
      <x:c r="B17" s="21" t="str">
        <x:v>Census ACS</x:v>
      </x:c>
      <x:c r="C17" s="21" t="str">
        <x:v>Latest-doc rental-proxy source + earlier source</x:v>
      </x:c>
      <x:c r="D17" s="21" t="str">
        <x:v>Latest document: B25003/B25004 annual rental-availability proxy and named supplements. Earlier scope: other housing, income, occupancy, and finance variables.</x:v>
      </x:c>
      <x:c r="E17" s="21" t="str">
        <x:v>https://api.census.gov/data.html</x:v>
      </x:c>
      <x:c r="F17" s="21" t="str">
        <x:v>Variable-specific: latest methodology explicitly authorizes B25003/B25004 for the rental proxy; other ACS uses are earlier/repository scope unless separately named</x:v>
      </x:c>
      <x:c r="G17" s="21" t="str">
        <x:v>Official 2010-2024 county and 2011-2024 configured-ZCTA histories are active. Preserve MOEs, overlapping-vintage semantics, and ZCTA identity.</x:v>
      </x:c>
    </x:row>
    <x:row r="18" ht="70" customHeight="1">
      <x:c r="A18" s="20" t="n">
        <x:v>14</x:v>
      </x:c>
      <x:c r="B18" s="20" t="str">
        <x:v>Census Data API key signup</x:v>
      </x:c>
      <x:c r="C18" s="20" t="str">
        <x:v>Credential</x:v>
      </x:c>
      <x:c r="D18" s="20" t="str">
        <x:v>Free API key used for current and future ACS historical refreshes</x:v>
      </x:c>
      <x:c r="E18" s="20" t="str">
        <x:v>https://api.census.gov/data/key_signup.html</x:v>
      </x:c>
      <x:c r="F18" s="20" t="str">
        <x:v>Operational requirement</x:v>
      </x:c>
      <x:c r="G18" s="20" t="str">
        <x:v>The key is stored outside the repository in the Windows user environment. It is never archived or written to tracked files.</x:v>
      </x:c>
    </x:row>
    <x:row r="19" ht="70" customHeight="1">
      <x:c r="A19" s="21" t="n">
        <x:v>15</x:v>
      </x:c>
      <x:c r="B19" s="21" t="str">
        <x:v>Zillow Housing Data</x:v>
      </x:c>
      <x:c r="C19" s="21" t="str">
        <x:v>Construction source</x:v>
      </x:c>
      <x:c r="D19" s="21" t="str">
        <x:v>ZHVI/ZORI price-to-rent, gross yield, ZORI level and growth</x:v>
      </x:c>
      <x:c r="E19" s="21" t="str">
        <x:v>https://www.zillow.com/research/data/</x:v>
      </x:c>
      <x:c r="F19" s="21" t="str">
        <x:v>Latest methodology + earlier tracker</x:v>
      </x:c>
      <x:c r="G19" s="21" t="str">
        <x:v>ZORI is a rent index, not rental inventory; use the active smoothed seasonally adjusted product.</x:v>
      </x:c>
    </x:row>
    <x:row r="20" ht="70" customHeight="1">
      <x:c r="A20" s="20" t="n">
        <x:v>16</x:v>
      </x:c>
      <x:c r="B20" s="20" t="str">
        <x:v>FHFA House Price Index</x:v>
      </x:c>
      <x:c r="C20" s="20" t="str">
        <x:v>Latest-doc conditional context + earlier source</x:v>
      </x:c>
      <x:c r="D20" s="20" t="str">
        <x:v>Latest document: only a future separately rebased FHFA/ZORI alternative. Earlier scope: standalone FHFA HPI variables.</x:v>
      </x:c>
      <x:c r="E20" s="20" t="str">
        <x:v>https://www.fhfa.gov/data/hpi</x:v>
      </x:c>
      <x:c r="F20" s="20" t="str">
        <x:v>Variable-specific: latest methodology does not authorize the existing standalone HPI variables as part of its seven constructions</x:v>
      </x:c>
      <x:c r="G20" s="20" t="str">
        <x:v>HPI is an index, not a dollar level; never splice FHFA/ZORI with the canonical Zillow/Zillow ratio.</x:v>
      </x:c>
    </x:row>
    <x:row r="21" ht="70" customHeight="1">
      <x:c r="A21" s="21" t="n">
        <x:v>17</x:v>
      </x:c>
      <x:c r="B21" s="21" t="str">
        <x:v>Census Housing Vacancy Survey</x:v>
      </x:c>
      <x:c r="C21" s="21" t="str">
        <x:v>Context / construction source</x:v>
      </x:c>
      <x:c r="D21" s="21" t="str">
        <x:v>State/metro rental vacancy context</x:v>
      </x:c>
      <x:c r="E21" s="21" t="str">
        <x:v>https://www.census.gov/housing/hvs/</x:v>
      </x:c>
      <x:c r="F21" s="21" t="str">
        <x:v>Latest methodology + earlier tracker</x:v>
      </x:c>
      <x:c r="G21" s="21" t="str">
        <x:v>Does not satisfy county/ZIP rental-listing inventory.</x:v>
      </x:c>
    </x:row>
    <x:row r="22" ht="70" customHeight="1">
      <x:c r="A22" s="20" t="n">
        <x:v>18</x:v>
      </x:c>
      <x:c r="B22" s="20" t="str">
        <x:v>HUD-USPS Vacancy Data</x:v>
      </x:c>
      <x:c r="C22" s="20" t="str">
        <x:v>Optional proxy</x:v>
      </x:c>
      <x:c r="D22" s="20" t="str">
        <x:v>Quarterly all-residential vacancy/address availability</x:v>
      </x:c>
      <x:c r="E22" s="20" t="str">
        <x:v>https://www.huduser.gov/portal/datasets/usps.html</x:v>
      </x:c>
      <x:c r="F22" s="20" t="str">
        <x:v>Latest methodology</x:v>
      </x:c>
      <x:c r="G22" s="20" t="str">
        <x:v>Keep separate from renter-only availability and true rental listings; no-stat remains diagnostic. Current coverage is complete through 2026 Q1; a future refresh requires an authorized HUD User session/token.</x:v>
      </x:c>
    </x:row>
    <x:row r="23" ht="70" customHeight="1">
      <x:c r="A23" s="21" t="n">
        <x:v>19</x:v>
      </x:c>
      <x:c r="B23" s="21" t="str">
        <x:v>California DOI Residential Property Insurance Report</x:v>
      </x:c>
      <x:c r="C23" s="21" t="str">
        <x:v>Construction source</x:v>
      </x:c>
      <x:c r="D23" s="21" t="str">
        <x:v>California annual average written homeowners premium</x:v>
      </x:c>
      <x:c r="E23" s="21" t="str">
        <x:v>https://www.insurance.ca.gov/0400-news/0200-studies-reports/0250-homeowners-study/</x:v>
      </x:c>
      <x:c r="F23" s="21" t="str">
        <x:v>Latest methodology</x:v>
      </x:c>
      <x:c r="G23" s="21" t="str">
        <x:v>Implemented as the exact Homeowners Multi-Peril aggregate: total written premium divided by total written exposures across all published coverage ranges; state annual only.</x:v>
      </x:c>
    </x:row>
    <x:row r="24" ht="70" customHeight="1">
      <x:c r="A24" s="20" t="n">
        <x:v>20</x:v>
      </x:c>
      <x:c r="B24" s="20" t="str">
        <x:v>California DOI Sustainable Insurance Strategy</x:v>
      </x:c>
      <x:c r="C24" s="20" t="str">
        <x:v>Optional risk supplement</x:v>
      </x:c>
      <x:c r="D24" s="20" t="str">
        <x:v>Insurance-market stress/distressed geography indicators</x:v>
      </x:c>
      <x:c r="E24" s="20" t="str">
        <x:v>https://www.insurance.ca.gov/01-consumers/180-climate-change/sustainable-insurance-strategy.Cfm</x:v>
      </x:c>
      <x:c r="F24" s="20" t="str">
        <x:v>Latest methodology</x:v>
      </x:c>
      <x:c r="G24" s="20" t="str">
        <x:v>Not a premium substitute.</x:v>
      </x:c>
    </x:row>
    <x:row r="25" ht="70" customHeight="1">
      <x:c r="A25" s="21" t="n">
        <x:v>21</x:v>
      </x:c>
      <x:c r="B25" s="21" t="str">
        <x:v>NAIC Homeowners Insurance Report</x:v>
      </x:c>
      <x:c r="C25" s="21" t="str">
        <x:v>Benchmark only</x:v>
      </x:c>
      <x:c r="D25" s="21" t="str">
        <x:v>National/state policy-form benchmark</x:v>
      </x:c>
      <x:c r="E25" s="21" t="str">
        <x:v>https://content.naic.org/sites/default/files/publication-hmr-zu-homeowners-report.pdf</x:v>
      </x:c>
      <x:c r="F25" s="21" t="str">
        <x:v>Latest methodology</x:v>
      </x:c>
      <x:c r="G25" s="21" t="str">
        <x:v>Benchmark only; California DOI is the primary premium source.</x:v>
      </x:c>
    </x:row>
    <x:row r="26" ht="70" customHeight="1">
      <x:c r="A26" s="20" t="n">
        <x:v>22</x:v>
      </x:c>
      <x:c r="B26" s="20" t="str">
        <x:v>California Tenant Protection Act information</x:v>
      </x:c>
      <x:c r="C26" s="20" t="str">
        <x:v>Policy input</x:v>
      </x:c>
      <x:c r="D26" s="20" t="str">
        <x:v>State rent-control exposure rules</x:v>
      </x:c>
      <x:c r="E26" s="20" t="str">
        <x:v>https://oag.ca.gov/consumers/general/landlord-tenant-issues</x:v>
      </x:c>
      <x:c r="F26" s="20" t="str">
        <x:v>Latest methodology</x:v>
      </x:c>
      <x:c r="G26" s="20" t="str">
        <x:v>Local ordinances and exemptions still require separate dated coding.</x:v>
      </x:c>
    </x:row>
    <x:row r="27" ht="70" customHeight="1">
      <x:c r="A27" s="21" t="n">
        <x:v>23</x:v>
      </x:c>
      <x:c r="B27" s="21" t="str">
        <x:v>Parcel/building records and local ordinances</x:v>
      </x:c>
      <x:c r="C27" s="21" t="str">
        <x:v>Named input category; exact source unspecified</x:v>
      </x:c>
      <x:c r="D27" s="21" t="str">
        <x:v>Noncontrolled exposure share and policy crosswalk</x:v>
      </x:c>
      <x:c r="E27" s="21" t="str"/>
      <x:c r="F27" s="21" t="str">
        <x:v>Latest methodology</x:v>
      </x:c>
      <x:c r="G27" s="21" t="str">
        <x:v>No exact parcel/building provider is supplied; do not add one without methodology approval.</x:v>
      </x:c>
    </x:row>
    <x:row r="28" ht="70" customHeight="1">
      <x:c r="A28" s="20" t="n">
        <x:v>24</x:v>
      </x:c>
      <x:c r="B28" s="20" t="str">
        <x:v>Freddie Mac PMMS</x:v>
      </x:c>
      <x:c r="C28" s="20" t="str">
        <x:v>Construction input</x:v>
      </x:c>
      <x:c r="D28" s="20" t="str">
        <x:v>30-year mortgage rates and earlier payment/debt sensitivity methods</x:v>
      </x:c>
      <x:c r="E28" s="20" t="str">
        <x:v>https://www.freddiemac.com/pmms/pmms_archives</x:v>
      </x:c>
      <x:c r="F28" s="20" t="str">
        <x:v>Earlier tracker/method</x:v>
      </x:c>
      <x:c r="G28" s="20" t="str">
        <x:v>National, not LA-specific; PMMS is permitted only for explicitly labeled term-sensitivity scenarios and never as an outstanding-stock coupon or calibrated UPB control.</x:v>
      </x:c>
    </x:row>
    <x:row r="29" ht="70" customHeight="1">
      <x:c r="A29" s="21" t="n">
        <x:v>25</x:v>
      </x:c>
      <x:c r="B29" s="21" t="str">
        <x:v>Eviction Lab</x:v>
      </x:c>
      <x:c r="C29" s="21" t="str">
        <x:v>Construction source</x:v>
      </x:c>
      <x:c r="D29" s="21" t="str">
        <x:v>Earlier eviction-trend workaround</x:v>
      </x:c>
      <x:c r="E29" s="21" t="str">
        <x:v>https://data-downloads.evictionlab.org/#estimating-eviction-prevalance-across-us/</x:v>
      </x:c>
      <x:c r="F29" s="21" t="str">
        <x:v>Earlier tracker/method</x:v>
      </x:c>
      <x:c r="G29" s="21" t="str">
        <x:v>Available LA implementation is annual modeled estimates, not high-frequency court filings.</x:v>
      </x:c>
    </x:row>
    <x:row r="30" ht="70" customHeight="1">
      <x:c r="A30" s="20" t="n">
        <x:v>26</x:v>
      </x:c>
      <x:c r="B30" s="20" t="str">
        <x:v>CDC WONDER</x:v>
      </x:c>
      <x:c r="C30" s="20" t="str">
        <x:v>Construction source</x:v>
      </x:c>
      <x:c r="D30" s="20" t="str">
        <x:v>Births, deaths, and natural population change</x:v>
      </x:c>
      <x:c r="E30" s="20" t="str">
        <x:v>https://wonder.cdc.gov/</x:v>
      </x:c>
      <x:c r="F30" s="20" t="str">
        <x:v>Earlier tracker/method</x:v>
      </x:c>
      <x:c r="G30" s="20" t="str">
        <x:v>Quarterly allocation remains modeled, not observed.</x:v>
      </x:c>
    </x:row>
    <x:row r="31" ht="70" customHeight="1">
      <x:c r="A31" s="21" t="n">
        <x:v>27</x:v>
      </x:c>
      <x:c r="B31" s="21" t="str">
        <x:v>HUD PIT / CoC</x:v>
      </x:c>
      <x:c r="C31" s="21" t="str">
        <x:v>Construction source</x:v>
      </x:c>
      <x:c r="D31" s="21" t="str">
        <x:v>Annual sheltered/unsheltered homelessness</x:v>
      </x:c>
      <x:c r="E31" s="21" t="str">
        <x:v>https://www.huduser.gov/portal/datasets/ahar/2025-ahar-part-1-pit-estimates-of-homelessness-in-the-us.html</x:v>
      </x:c>
      <x:c r="F31" s="21" t="str">
        <x:v>Earlier tracker/method</x:v>
      </x:c>
      <x:c r="G31" s="21" t="str">
        <x:v>The official 2007-2025 annual workbook is configured; no login/API key is required, and no credible listed high-frequency substitute exists.</x:v>
      </x:c>
    </x:row>
    <x:row r="32" ht="70" customHeight="1">
      <x:c r="A32" s="20" t="n">
        <x:v>28</x:v>
      </x:c>
      <x:c r="B32" s="20" t="str">
        <x:v>BLS CES</x:v>
      </x:c>
      <x:c r="C32" s="20" t="str">
        <x:v>Construction source</x:v>
      </x:c>
      <x:c r="D32" s="20" t="str">
        <x:v>Payroll employment</x:v>
      </x:c>
      <x:c r="E32" s="20" t="str">
        <x:v>https://www.bls.gov/sae/</x:v>
      </x:c>
      <x:c r="F32" s="20" t="str">
        <x:v>Earlier tracker</x:v>
      </x:c>
      <x:c r="G32" s="20" t="str">
        <x:v>LA metro geography must be retained.</x:v>
      </x:c>
    </x:row>
    <x:row r="33" ht="70" customHeight="1">
      <x:c r="A33" s="21" t="n">
        <x:v>29</x:v>
      </x:c>
      <x:c r="B33" s="21" t="str">
        <x:v>BLS LAUS</x:v>
      </x:c>
      <x:c r="C33" s="21" t="str">
        <x:v>Construction source</x:v>
      </x:c>
      <x:c r="D33" s="21" t="str">
        <x:v>Unemployment rate and labor-force components</x:v>
      </x:c>
      <x:c r="E33" s="21" t="str">
        <x:v>https://www.bls.gov/lau/data-overview.htm</x:v>
      </x:c>
      <x:c r="F33" s="21" t="str">
        <x:v>Earlier tracker</x:v>
      </x:c>
      <x:c r="G33" s="21" t="str">
        <x:v>Provider nulls remain missing; county estimates are not seasonally adjusted.</x:v>
      </x:c>
    </x:row>
    <x:row r="34" ht="70" customHeight="1">
      <x:c r="A34" s="20" t="n">
        <x:v>30</x:v>
      </x:c>
      <x:c r="B34" s="20" t="str">
        <x:v>BLS CPI-U (LA metro)</x:v>
      </x:c>
      <x:c r="C34" s="20" t="str">
        <x:v>Earlier construction source; latest-doc concept only</x:v>
      </x:c>
      <x:c r="D34" s="20" t="str">
        <x:v>Earlier CPI/inflation variables. Latest document names an optional CPI-U concept but leaves exact provider series, geography, and reference year unspecified.</x:v>
      </x:c>
      <x:c r="E34" s="20" t="str">
        <x:v>https://www.bls.gov/cpi/data.htm</x:v>
      </x:c>
      <x:c r="F34" s="20" t="str">
        <x:v>Earlier tracker; only partial/contextual relationship to the latest methodology</x:v>
      </x:c>
      <x:c r="G34" s="20" t="str">
        <x:v>The current LA-metro CPI series cannot be treated as the latest document's chosen deflator until the exact series and reference year are approved.</x:v>
      </x:c>
    </x:row>
    <x:row r="35" ht="70" customHeight="1">
      <x:c r="A35" s="21" t="n">
        <x:v>31</x:v>
      </x:c>
      <x:c r="B35" s="21" t="str">
        <x:v>BEA</x:v>
      </x:c>
      <x:c r="C35" s="21" t="str">
        <x:v>Construction source</x:v>
      </x:c>
      <x:c r="D35" s="21" t="str">
        <x:v>State quarterly and county annual personal income</x:v>
      </x:c>
      <x:c r="E35" s="21" t="str">
        <x:v>https://www.bea.gov/data/income-saving/personal-income-by-county</x:v>
      </x:c>
      <x:c r="F35" s="21" t="str">
        <x:v>Earlier tracker</x:v>
      </x:c>
      <x:c r="G35" s="21" t="str">
        <x:v>Does not currently provide the required LA County quarterly series in the active implementation.</x:v>
      </x:c>
    </x:row>
  </x:sheetData>
  <x:mergeCells>
    <x:mergeCell ref="A1:G1"/>
    <x:mergeCell ref="A2:G2"/>
    <x:mergeCell ref="A3:G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 hidden="0" customWidth="1"/>
    <x:col min="2" max="2" width="31" hidden="0" customWidth="1"/>
    <x:col min="3" max="3" width="35" hidden="0" customWidth="1"/>
    <x:col min="4" max="4" width="29" hidden="0" customWidth="1"/>
    <x:col min="5" max="5" width="50" hidden="0" customWidth="1"/>
    <x:col min="6" max="6" width="45" hidden="0" customWidth="1"/>
    <x:col min="7" max="7" width="42" hidden="0" customWidth="1"/>
    <x:col min="8" max="8" width="16" hidden="0" customWidth="1"/>
    <x:col min="9" max="9" width="50" hidden="0" customWidth="1"/>
  </x:cols>
  <x:sheetData>
    <x:row r="1" ht="30" customHeight="1">
      <x:c r="A1" s="3" t="str">
        <x:v>Crosswalk to All Earlier Requirements</x:v>
      </x:c>
      <x:c r="B1" s="3"/>
      <x:c r="C1" s="3"/>
      <x:c r="D1" s="3"/>
      <x:c r="E1" s="3"/>
      <x:c r="F1" s="3"/>
      <x:c r="G1" s="3"/>
      <x:c r="H1" s="3"/>
      <x:c r="I1" s="3"/>
    </x:row>
    <x:row r="2" ht="34" customHeight="1">
      <x:c r="A2" s="7" t="str">
        <x:v>All 38 earlier methodology/tracker requirements are accounted for. This sheet preserves prior wording while pointing to the latest governing standard and authoritative inventory row.</x:v>
      </x:c>
      <x:c r="B2" s="7"/>
      <x:c r="C2" s="7"/>
      <x:c r="D2" s="7"/>
      <x:c r="E2" s="7"/>
      <x:c r="F2" s="7"/>
      <x:c r="G2" s="7"/>
      <x:c r="H2" s="7"/>
      <x:c r="I2" s="7"/>
    </x:row>
    <x:row r="3" ht="38" customHeight="1">
      <x:c r="A3" s="11" t="str">
        <x:v>Do not use the old audit status as the current answer where it conflicts with live coverage or the latest methodology; the Variable Inventory is authoritative.</x:v>
      </x:c>
      <x:c r="B3" s="11"/>
      <x:c r="C3" s="11"/>
      <x:c r="D3" s="11"/>
      <x:c r="E3" s="11"/>
      <x:c r="F3" s="11"/>
      <x:c r="G3" s="11"/>
      <x:c r="H3" s="11"/>
      <x:c r="I3" s="11"/>
    </x:row>
    <x:row r="4" ht="38" customHeight="1">
      <x:c r="A4" s="17" t="str">
        <x:v>#</x:v>
      </x:c>
      <x:c r="B4" s="17" t="str">
        <x:v>Prior category</x:v>
      </x:c>
      <x:c r="C4" s="17" t="str">
        <x:v>Prior requirement</x:v>
      </x:c>
      <x:c r="D4" s="17" t="str">
        <x:v>Prior listed source</x:v>
      </x:c>
      <x:c r="E4" s="17" t="str">
        <x:v>Prior workaround / method</x:v>
      </x:c>
      <x:c r="F4" s="17" t="str">
        <x:v>Latest governing rule</x:v>
      </x:c>
      <x:c r="G4" s="17" t="str">
        <x:v>Canonical inventory key</x:v>
      </x:c>
      <x:c r="H4" s="17" t="str">
        <x:v>Latest availability</x:v>
      </x:c>
      <x:c r="I4" s="17" t="str">
        <x:v>Reconciliation note</x:v>
      </x:c>
    </x:row>
    <x:row r="5" ht="78" customHeight="1">
      <x:c r="A5" s="21" t="n">
        <x:v>1</x:v>
      </x:c>
      <x:c r="B5" s="21" t="str">
        <x:v>Difficult Variables</x:v>
      </x:c>
      <x:c r="C5" s="21" t="str">
        <x:v>Aggregate Home Equity</x:v>
      </x:c>
      <x:c r="D5" s="21" t="str">
        <x:v>Not named in prior source column</x:v>
      </x:c>
      <x:c r="E5" s="21" t="str">
        <x:v>Use the Version A benchmark: published ACS B25082 aggregate owner values less the matched-universe, California-calibrated first-mortgage debt benchmark; add published mortgage-free owner value in full for all-owner equity.</x:v>
      </x:c>
      <x:c r="F5" s="21" t="str">
        <x:v>Latest Four Variable status rule publishes matching raw scenarios now; calibrated Version A rule retained</x:v>
      </x:c>
      <x:c r="G5" s="21" t="str">
        <x:v>PMMS 20/25/30-year mortgaged/all-owner scenario equity + seven calibrated/dependent equity targets</x:v>
      </x:c>
      <x:c r="H5" s="25" t="str">
        <x:v>Partial</x:v>
      </x:c>
      <x:c r="I5" s="21" t="str">
        <x:v>All 348 scenario-equity values exist; 406 rows across seven calibrated/dependent equity, per-owner, LTV, and equity-rate IDs remain null because the acquired TOT_UPB control has an incompatible all-mortgage universe.</x:v>
      </x:c>
    </x:row>
    <x:row r="6" ht="78" customHeight="1">
      <x:c r="A6" s="20" t="n">
        <x:v>2</x:v>
      </x:c>
      <x:c r="B6" s="20" t="str">
        <x:v>Difficult Variables</x:v>
      </x:c>
      <x:c r="C6" s="20" t="str">
        <x:v>Aggregate Mortgage Debt (outstanding balances)</x:v>
      </x:c>
      <x:c r="D6" s="20" t="str">
        <x:v>Not named in prior source column</x:v>
      </x:c>
      <x:c r="E6" s="20" t="str">
        <x:v>Use the Version A benchmark: direct ACS B25089/B25081 levels, weighted ACS PUMS first-mortgage P&amp;I parameters, an exact-date joint NMDB rate-term distribution, and a compatible California UPB control. Retain PMMS only as a labeled sensitivity fallback.</x:v>
      </x:c>
      <x:c r="F6" s="20" t="str">
        <x:v>Latest Four Variable status rule publishes raw term scenarios now; calibrated Version A rule retained</x:v>
      </x:c>
      <x:c r="G6" s="20" t="str">
        <x:v>PMMS 20/25/30-year raw debt sensitivities + raw envelope + calibrated/ratio targets</x:v>
      </x:c>
      <x:c r="H6" s="25" t="str">
        <x:v>Partial</x:v>
      </x:c>
      <x:c r="I6" s="20" t="str">
        <x:v>All 174 term scenarios and 58 raw-envelope values exist; 290 calibrated debt/ratio values remain null because the acquired TOT_UPB control has an incompatible all-mortgage universe.</x:v>
      </x:c>
    </x:row>
    <x:row r="7" ht="78" customHeight="1">
      <x:c r="A7" s="21" t="n">
        <x:v>3</x:v>
      </x:c>
      <x:c r="B7" s="21" t="str">
        <x:v>Difficult Variables</x:v>
      </x:c>
      <x:c r="C7" s="21" t="str">
        <x:v>Monthly Mortgage Payment</x:v>
      </x:c>
      <x:c r="D7" s="21" t="str">
        <x:v>Not named in prior source column</x:v>
      </x:c>
      <x:c r="E7" s="21" t="str">
        <x:v>Construct using local price series (Redfin/Zillow), prevailing mortgage rates, assumed LTV/term; optionally validate against ACS owner costs.</x:v>
      </x:c>
      <x:c r="F7" s="21" t="str">
        <x:v>Earlier scenario method retained</x:v>
      </x:c>
      <x:c r="G7" s="21" t="str">
        <x:v>mortgage_payment_3_5pct_down | mortgage_payment_10pct_down | mortgage_payment_20pct_down</x:v>
      </x:c>
      <x:c r="H7" s="29" t="str">
        <x:v>Have</x:v>
      </x:c>
      <x:c r="I7" s="21" t="str">
        <x:v>Three county-month scenarios are available.</x:v>
      </x:c>
    </x:row>
    <x:row r="8" ht="78" customHeight="1">
      <x:c r="A8" s="20" t="n">
        <x:v>4</x:v>
      </x:c>
      <x:c r="B8" s="20" t="str">
        <x:v>Difficult Variables</x:v>
      </x:c>
      <x:c r="C8" s="20" t="str">
        <x:v>Homebuying Costs - Downpayment</x:v>
      </x:c>
      <x:c r="D8" s="20" t="str">
        <x:v>Not named in prior source column</x:v>
      </x:c>
      <x:c r="E8" s="20" t="str">
        <x:v>Assume percent of median sale price (scenario-based: 10%, 20%, FHA-style); treat as policy-sensitive parameter.</x:v>
      </x:c>
      <x:c r="F8" s="20" t="str">
        <x:v>Earlier scenario method retained</x:v>
      </x:c>
      <x:c r="G8" s="20" t="str">
        <x:v>down_payment_3_5pct | down_payment_10pct | down_payment_20pct</x:v>
      </x:c>
      <x:c r="H8" s="29" t="str">
        <x:v>Have</x:v>
      </x:c>
      <x:c r="I8" s="20" t="str">
        <x:v>Three county-month scenarios are available.</x:v>
      </x:c>
    </x:row>
    <x:row r="9" ht="78" customHeight="1">
      <x:c r="A9" s="21" t="n">
        <x:v>5</x:v>
      </x:c>
      <x:c r="B9" s="21" t="str">
        <x:v>Difficult Variables</x:v>
      </x:c>
      <x:c r="C9" s="21" t="str">
        <x:v>Homebuying Costs - Closing Costs</x:v>
      </x:c>
      <x:c r="D9" s="21" t="str">
        <x:v>Not named in prior source column</x:v>
      </x:c>
      <x:c r="E9" s="21" t="str">
        <x:v>Apply standardized percent of sale price, state-specific if available.</x:v>
      </x:c>
      <x:c r="F9" s="21" t="str">
        <x:v>Latest methodology governs: Redfin sale price × 2%/3%/5%, plus separate loan and cash-to-close scenarios</x:v>
      </x:c>
      <x:c r="G9" s="21" t="str">
        <x:v>closing_cost_saleprice_2pct | closing_cost_saleprice_3pct | closing_cost_saleprice_5pct | closing_cost_loan_3pct | closing_cost_loan_6pct | total_cash_to_close_scenario</x:v>
      </x:c>
      <x:c r="H9" s="29" t="str">
        <x:v>Have</x:v>
      </x:c>
      <x:c r="I9" s="21" t="str">
        <x:v>The full 15-combination scenario layer is implemented for county and postal ZIP inputs; prepaid escrow remains excluded.</x:v>
      </x:c>
    </x:row>
    <x:row r="10" ht="78" customHeight="1">
      <x:c r="A10" s="20" t="n">
        <x:v>6</x:v>
      </x:c>
      <x:c r="B10" s="20" t="str">
        <x:v>Difficult Variables</x:v>
      </x:c>
      <x:c r="C10" s="20" t="str">
        <x:v>Homebuying Costs - Property Insurance</x:v>
      </x:c>
      <x:c r="D10" s="20" t="str">
        <x:v>Not named in prior source column</x:v>
      </x:c>
      <x:c r="E10" s="20" t="str">
        <x:v>Use CA state series.</x:v>
      </x:c>
      <x:c r="F10" s="20" t="str">
        <x:v>Latest methodology governs: California DOI annual state control; NAIC is benchmark-only</x:v>
      </x:c>
      <x:c r="G10" s="20" t="str">
        <x:v>ca_homeowners_avg_written_premium | ca_homeowners_avg_written_premium_yoy | ca_homeowners_avg_written_premium_monthly_control</x:v>
      </x:c>
      <x:c r="H10" s="29" t="str">
        <x:v>Have</x:v>
      </x:c>
      <x:c r="I10" s="20" t="str">
        <x:v>Official Homeowners Multi-Peril average premium, annual YoY, and the 192-row flagged monthly step control are implemented; only the separately named real-dollar variant remains method-blocked.</x:v>
      </x:c>
    </x:row>
    <x:row r="11" ht="78" customHeight="1">
      <x:c r="A11" s="21" t="n">
        <x:v>7</x:v>
      </x:c>
      <x:c r="B11" s="21" t="str">
        <x:v>Difficult Variables</x:v>
      </x:c>
      <x:c r="C11" s="21" t="str">
        <x:v>Rental price increase in non-rent-controlled locations</x:v>
      </x:c>
      <x:c r="D11" s="21" t="str">
        <x:v>Not named in prior source column</x:v>
      </x:c>
      <x:c r="E11" s="21" t="str">
        <x:v>Use Zillow ZORI and exclude geographies by construction-year share (post-1995 / post-2005 proxy) or interact with policy exposure.</x:v>
      </x:c>
      <x:c r="F11" s="21" t="str">
        <x:v>Latest methodology governs: modeled ZORI outcome × approved exposure share</x:v>
      </x:c>
      <x:c r="G11" s="21" t="str">
        <x:v>exposure_adjusted_noncontrolled_rent_growth</x:v>
      </x:c>
      <x:c r="H11" s="33" t="str">
        <x:v>Do not have</x:v>
      </x:c>
      <x:c r="I11" s="21" t="str">
        <x:v>ZORI input exists; policy/exposure layer is missing.</x:v>
      </x:c>
    </x:row>
    <x:row r="12" ht="78" customHeight="1">
      <x:c r="A12" s="20" t="n">
        <x:v>8</x:v>
      </x:c>
      <x:c r="B12" s="20" t="str">
        <x:v>Difficult Variables</x:v>
      </x:c>
      <x:c r="C12" s="20" t="str">
        <x:v>Eviction trends (high-frequency, consistent)</x:v>
      </x:c>
      <x:c r="D12" s="20" t="str">
        <x:v>Not named in prior source column</x:v>
      </x:c>
      <x:c r="E12" s="20" t="str">
        <x:v>Eviction Lab ETS where available; otherwise annual filings with interpolation.</x:v>
      </x:c>
      <x:c r="F12" s="20" t="str">
        <x:v>Earlier listed Eviction Lab workaround retained</x:v>
      </x:c>
      <x:c r="G12" s="20" t="str">
        <x:v>eviction_lab_* annual estimates</x:v>
      </x:c>
      <x:c r="H12" s="25" t="str">
        <x:v>Partial</x:v>
      </x:c>
      <x:c r="I12" s="20" t="str">
        <x:v>Only annual modeled estimates are available for LA.</x:v>
      </x:c>
    </x:row>
    <x:row r="13" ht="78" customHeight="1">
      <x:c r="A13" s="21" t="n">
        <x:v>9</x:v>
      </x:c>
      <x:c r="B13" s="21" t="str">
        <x:v>Difficult Variables</x:v>
      </x:c>
      <x:c r="C13" s="21" t="str">
        <x:v>New Apartments Completed (county time series)</x:v>
      </x:c>
      <x:c r="D13" s="21" t="str">
        <x:v>Not named in prior source column</x:v>
      </x:c>
      <x:c r="E13" s="21" t="str">
        <x:v>Proxy with lagged multifamily permits (5+) using completion lag structure; lags uncertain.</x:v>
      </x:c>
      <x:c r="F13" s="21" t="str">
        <x:v>Earlier lagged-multifamily-permits workaround retained</x:v>
      </x:c>
      <x:c r="G13" s="21" t="str">
        <x:v>new_apartments_completed_proxy</x:v>
      </x:c>
      <x:c r="H13" s="33" t="str">
        <x:v>Do not have</x:v>
      </x:c>
      <x:c r="I13" s="21" t="str">
        <x:v>Input permits exist; completion-lag model is not defined.</x:v>
      </x:c>
    </x:row>
    <x:row r="14" ht="78" customHeight="1">
      <x:c r="A14" s="20" t="n">
        <x:v>10</x:v>
      </x:c>
      <x:c r="B14" s="20" t="str">
        <x:v>Difficult Variables</x:v>
      </x:c>
      <x:c r="C14" s="20" t="str">
        <x:v>Multifamily Under Construction</x:v>
      </x:c>
      <x:c r="D14" s="20" t="str">
        <x:v>Not named in prior source column</x:v>
      </x:c>
      <x:c r="E14" s="20" t="str">
        <x:v>Build pipeline stock: cumulative MF permits minus assumed completions over rolling window.</x:v>
      </x:c>
      <x:c r="F14" s="20" t="str">
        <x:v>Earlier permits-minus-completions stock method retained</x:v>
      </x:c>
      <x:c r="G14" s="20" t="str">
        <x:v>multifamily_under_construction_proxy</x:v>
      </x:c>
      <x:c r="H14" s="33" t="str">
        <x:v>Do not have</x:v>
      </x:c>
      <x:c r="I14" s="20" t="str">
        <x:v>Input permits exist; completions/window are undefined.</x:v>
      </x:c>
    </x:row>
    <x:row r="15" ht="78" customHeight="1">
      <x:c r="A15" s="21" t="n">
        <x:v>11</x:v>
      </x:c>
      <x:c r="B15" s="21" t="str">
        <x:v>Difficult Variables</x:v>
      </x:c>
      <x:c r="C15" s="21" t="str">
        <x:v>Single-Family Rental Construction</x:v>
      </x:c>
      <x:c r="D15" s="21" t="str">
        <x:v>Not named in prior source column</x:v>
      </x:c>
      <x:c r="E15" s="21" t="str">
        <x:v>Proxy using SFR permits in high-investor / rental-growth tracts or small MF permits.</x:v>
      </x:c>
      <x:c r="F15" s="21" t="str">
        <x:v>Earlier permits + classifier workaround retained</x:v>
      </x:c>
      <x:c r="G15" s="21" t="str">
        <x:v>single_family_rental_construction_proxy</x:v>
      </x:c>
      <x:c r="H15" s="33" t="str">
        <x:v>Do not have</x:v>
      </x:c>
      <x:c r="I15" s="21" t="str">
        <x:v>Permit input exists; classifier is missing.</x:v>
      </x:c>
    </x:row>
    <x:row r="16" ht="78" customHeight="1">
      <x:c r="A16" s="20" t="n">
        <x:v>12</x:v>
      </x:c>
      <x:c r="B16" s="20" t="str">
        <x:v>Difficult Variables</x:v>
      </x:c>
      <x:c r="C16" s="20" t="str">
        <x:v>Net Change in Occupied Apartments (quarterly)</x:v>
      </x:c>
      <x:c r="D16" s="20" t="str">
        <x:v>Not named in prior source column</x:v>
      </x:c>
      <x:c r="E16" s="20" t="str">
        <x:v>Annual ACS change in occupied renter units; optionally interpolate or use CPS/HVS for state-level timing.</x:v>
      </x:c>
      <x:c r="F16" s="20" t="str">
        <x:v>Earlier ACS annual-change method retained</x:v>
      </x:c>
      <x:c r="G16" s="20" t="str">
        <x:v>net_change_occupied_apartments_annual | zcta_renter_occupied_units_vintage_change_annual</x:v>
      </x:c>
      <x:c r="H16" s="25" t="str">
        <x:v>Partial</x:v>
      </x:c>
      <x:c r="I16" s="20" t="str">
        <x:v>Fourteen annual county and 3,562 annual Census-ZCTA vintage differences are available; quarterly timing remains unapproved and absent.</x:v>
      </x:c>
    </x:row>
    <x:row r="17" ht="78" customHeight="1">
      <x:c r="A17" s="21" t="n">
        <x:v>13</x:v>
      </x:c>
      <x:c r="B17" s="21" t="str">
        <x:v>Difficult Variables</x:v>
      </x:c>
      <x:c r="C17" s="21" t="str">
        <x:v>Price-to-Income Ratio (quarterly/local)</x:v>
      </x:c>
      <x:c r="D17" s="21" t="str">
        <x:v>Not named in prior source column</x:v>
      </x:c>
      <x:c r="E17" s="21" t="str">
        <x:v>Construct ratio using annual ACS income with interpolated or stepwise series.</x:v>
      </x:c>
      <x:c r="F17" s="21" t="str">
        <x:v>Earlier ACS mixed-frequency method retained</x:v>
      </x:c>
      <x:c r="G17" s="21" t="str">
        <x:v>county_annual_price_to_income_acs | zcta_annual_price_to_income_acs</x:v>
      </x:c>
      <x:c r="H17" s="25" t="str">
        <x:v>Partial</x:v>
      </x:c>
      <x:c r="I17" s="21" t="str">
        <x:v>Fifteen LA County and 3,830 non-null Census-ZCTA annual ACS ratios are available; quarterly timing remains absent and ZCTAs are not postal ZIPs.</x:v>
      </x:c>
    </x:row>
    <x:row r="18" ht="78" customHeight="1">
      <x:c r="A18" s="20" t="n">
        <x:v>14</x:v>
      </x:c>
      <x:c r="B18" s="20" t="str">
        <x:v>Difficult Variables</x:v>
      </x:c>
      <x:c r="C18" s="20" t="str">
        <x:v>Natural Population Change (quarterly)</x:v>
      </x:c>
      <x:c r="D18" s="20" t="str">
        <x:v>Not named in prior source column</x:v>
      </x:c>
      <x:c r="E18" s="20" t="str">
        <x:v>Annual CDC WONDER series; interpolate if quarterly timing is needed.</x:v>
      </x:c>
      <x:c r="F18" s="20" t="str">
        <x:v>Earlier CDC method retained with explicit modeled quarterly timing</x:v>
      </x:c>
      <x:c r="G18" s="20" t="str">
        <x:v>natural_population_change_annual | natural_population_change_quarterly_allocated</x:v>
      </x:c>
      <x:c r="H18" s="29" t="str">
        <x:v>Have</x:v>
      </x:c>
      <x:c r="I18" s="20" t="str">
        <x:v>Annual series and flagged quarterly allocation are available.</x:v>
      </x:c>
    </x:row>
    <x:row r="19" ht="78" customHeight="1">
      <x:c r="A19" s="21" t="n">
        <x:v>15</x:v>
      </x:c>
      <x:c r="B19" s="21" t="str">
        <x:v>Difficult Variables</x:v>
      </x:c>
      <x:c r="C19" s="21" t="str">
        <x:v>Net Immigration / Migration (county)</x:v>
      </x:c>
      <x:c r="D19" s="21" t="str">
        <x:v>Not named in prior source column</x:v>
      </x:c>
      <x:c r="E19" s="21" t="str">
        <x:v>Annual IRS inflow minus outflow; treat as slow-moving VAR state variable.</x:v>
      </x:c>
      <x:c r="F19" s="21" t="str">
        <x:v>Latest methodology governs: IRS SOI annual filing-year intervals</x:v>
      </x:c>
      <x:c r="G19" s="21" t="str">
        <x:v>irs_soi_net_migration_exemptions (+ returns and AGI companions)</x:v>
      </x:c>
      <x:c r="H19" s="29" t="str">
        <x:v>Have</x:v>
      </x:c>
      <x:c r="I19" s="21" t="str">
        <x:v>Three annual net migration components are available; 2022-2023 is flagged as a provider method break, and the rate remains separate and missing.</x:v>
      </x:c>
    </x:row>
    <x:row r="20" ht="78" customHeight="1">
      <x:c r="A20" s="20" t="n">
        <x:v>16</x:v>
      </x:c>
      <x:c r="B20" s="20" t="str">
        <x:v>Difficult Variables</x:v>
      </x:c>
      <x:c r="C20" s="20" t="str">
        <x:v>Sheltered vs Unsheltered Homelessness (high frequency)</x:v>
      </x:c>
      <x:c r="D20" s="20" t="str">
        <x:v>Not named in prior source column</x:v>
      </x:c>
      <x:c r="E20" s="20" t="str">
        <x:v>Annual HUD PIT; no credible quarterly public alternative.</x:v>
      </x:c>
      <x:c r="F20" s="20" t="str">
        <x:v>Earlier annual HUD PIT/CoC workaround retained</x:v>
      </x:c>
      <x:c r="G20" s="20" t="str">
        <x:v>hud_pit_overall_homeless_annual | hud_pit_sheltered_homeless_annual | hud_pit_unsheltered_homeless_annual</x:v>
      </x:c>
      <x:c r="H20" s="25" t="str">
        <x:v>Partial</x:v>
      </x:c>
      <x:c r="I20" s="20" t="str">
        <x:v>The official annual 2007-2025 PIT source is implemented; the requested high-frequency target remains unsupported.</x:v>
      </x:c>
    </x:row>
    <x:row r="21" ht="78" customHeight="1">
      <x:c r="A21" s="21" t="n">
        <x:v>17</x:v>
      </x:c>
      <x:c r="B21" s="21" t="str">
        <x:v>AVAILABLE VARIABLES - Homeowners</x:v>
      </x:c>
      <x:c r="C21" s="21" t="str">
        <x:v>Home Price Index</x:v>
      </x:c>
      <x:c r="D21" s="21" t="str">
        <x:v>FHFA HPI</x:v>
      </x:c>
      <x:c r="E21" s="21" t="str">
        <x:v>None stated</x:v>
      </x:c>
      <x:c r="F21" s="21" t="str">
        <x:v>Earlier tracker retained</x:v>
      </x:c>
      <x:c r="G21" s="21" t="str">
        <x:v>fhfa_hpi_*</x:v>
      </x:c>
      <x:c r="H21" s="29" t="str">
        <x:v>Have</x:v>
      </x:c>
      <x:c r="I21" s="21" t="str">
        <x:v>FHFA HPI series are available at their native geographies/frequencies.</x:v>
      </x:c>
    </x:row>
    <x:row r="22" ht="78" customHeight="1">
      <x:c r="A22" s="20" t="n">
        <x:v>18</x:v>
      </x:c>
      <x:c r="B22" s="20" t="str">
        <x:v>AVAILABLE VARIABLES - Homeowners</x:v>
      </x:c>
      <x:c r="C22" s="20" t="str">
        <x:v>Median Sale Price (SF &amp; all homes)</x:v>
      </x:c>
      <x:c r="D22" s="20" t="str">
        <x:v>Redfin Data Center</x:v>
      </x:c>
      <x:c r="E22" s="20" t="str">
        <x:v>None stated</x:v>
      </x:c>
      <x:c r="F22" s="20" t="str">
        <x:v>Earlier tracker retained</x:v>
      </x:c>
      <x:c r="G22" s="20" t="str">
        <x:v>median_sale_price | redfin_zip_median_sale_price_nsa_rolling_3m</x:v>
      </x:c>
      <x:c r="H22" s="29" t="str">
        <x:v>Have</x:v>
      </x:c>
      <x:c r="I22" s="20" t="str">
        <x:v>County and ZIP rolling data are available.</x:v>
      </x:c>
    </x:row>
    <x:row r="23" ht="78" customHeight="1">
      <x:c r="A23" s="21" t="n">
        <x:v>19</x:v>
      </x:c>
      <x:c r="B23" s="21" t="str">
        <x:v>AVAILABLE VARIABLES - Homeowners</x:v>
      </x:c>
      <x:c r="C23" s="21" t="str">
        <x:v>Existing Homes for Sale (Inventory)</x:v>
      </x:c>
      <x:c r="D23" s="21" t="str">
        <x:v>Redfin Data Center</x:v>
      </x:c>
      <x:c r="E23" s="21" t="str">
        <x:v>None stated</x:v>
      </x:c>
      <x:c r="F23" s="21" t="str">
        <x:v>Earlier tracker retained</x:v>
      </x:c>
      <x:c r="G23" s="21" t="str">
        <x:v>active_inventory | redfin_zip_active_listings_rolling_3m</x:v>
      </x:c>
      <x:c r="H23" s="29" t="str">
        <x:v>Have</x:v>
      </x:c>
      <x:c r="I23" s="21" t="str">
        <x:v>For-sale inventory is available and remains distinct from rental inventory.</x:v>
      </x:c>
    </x:row>
    <x:row r="24" ht="78" customHeight="1">
      <x:c r="A24" s="20" t="n">
        <x:v>20</x:v>
      </x:c>
      <x:c r="B24" s="20" t="str">
        <x:v>AVAILABLE VARIABLES - Homeowners</x:v>
      </x:c>
      <x:c r="C24" s="20" t="str">
        <x:v>Months of Supply</x:v>
      </x:c>
      <x:c r="D24" s="20" t="str">
        <x:v>Redfin Data Center</x:v>
      </x:c>
      <x:c r="E24" s="20" t="str">
        <x:v>None stated</x:v>
      </x:c>
      <x:c r="F24" s="20" t="str">
        <x:v>Earlier tracker retained</x:v>
      </x:c>
      <x:c r="G24" s="20" t="str">
        <x:v>months_of_supply</x:v>
      </x:c>
      <x:c r="H24" s="29" t="str">
        <x:v>Have</x:v>
      </x:c>
      <x:c r="I24" s="20" t="str">
        <x:v>County monthly series is complete.</x:v>
      </x:c>
    </x:row>
    <x:row r="25" ht="78" customHeight="1">
      <x:c r="A25" s="21" t="n">
        <x:v>21</x:v>
      </x:c>
      <x:c r="B25" s="21" t="str">
        <x:v>AVAILABLE VARIABLES - Homeowners</x:v>
      </x:c>
      <x:c r="C25" s="21" t="str">
        <x:v>New Listings</x:v>
      </x:c>
      <x:c r="D25" s="21" t="str">
        <x:v>Redfin Data Center</x:v>
      </x:c>
      <x:c r="E25" s="21" t="str">
        <x:v>None stated</x:v>
      </x:c>
      <x:c r="F25" s="21" t="str">
        <x:v>Earlier tracker retained</x:v>
      </x:c>
      <x:c r="G25" s="21" t="str">
        <x:v>new_listings | redfin_zip_new_listings_rolling_3m</x:v>
      </x:c>
      <x:c r="H25" s="29" t="str">
        <x:v>Have</x:v>
      </x:c>
      <x:c r="I25" s="21" t="str">
        <x:v>County and ZIP rolling series are available with preserved ZIP nulls.</x:v>
      </x:c>
    </x:row>
    <x:row r="26" ht="78" customHeight="1">
      <x:c r="A26" s="20" t="n">
        <x:v>22</x:v>
      </x:c>
      <x:c r="B26" s="20" t="str">
        <x:v>AVAILABLE VARIABLES - Homeowners</x:v>
      </x:c>
      <x:c r="C26" s="20" t="str">
        <x:v>Homes Sold / Sales Volume</x:v>
      </x:c>
      <x:c r="D26" s="20" t="str">
        <x:v>Redfin Data Center</x:v>
      </x:c>
      <x:c r="E26" s="20" t="str">
        <x:v>None stated</x:v>
      </x:c>
      <x:c r="F26" s="20" t="str">
        <x:v>Earlier tracker retained</x:v>
      </x:c>
      <x:c r="G26" s="20" t="str">
        <x:v>homes_sold | redfin_zip_homes_sold_rolling_3m</x:v>
      </x:c>
      <x:c r="H26" s="29" t="str">
        <x:v>Have</x:v>
      </x:c>
      <x:c r="I26" s="20" t="str">
        <x:v>County and ZIP rolling series are available with preserved ZIP nulls.</x:v>
      </x:c>
    </x:row>
    <x:row r="27" ht="78" customHeight="1">
      <x:c r="A27" s="21" t="n">
        <x:v>23</x:v>
      </x:c>
      <x:c r="B27" s="21" t="str">
        <x:v>AVAILABLE VARIABLES - Homeowners</x:v>
      </x:c>
      <x:c r="C27" s="21" t="str">
        <x:v>Mortgage Rates (30Y FRM)</x:v>
      </x:c>
      <x:c r="D27" s="21" t="str">
        <x:v>Freddie Mac PMMS</x:v>
      </x:c>
      <x:c r="E27" s="21" t="str">
        <x:v>None stated</x:v>
      </x:c>
      <x:c r="F27" s="21" t="str">
        <x:v>Earlier tracker retained</x:v>
      </x:c>
      <x:c r="G27" s="21" t="str">
        <x:v>mortgage_rate_30y_weekly | mortgage_rate_30y_monthly_*</x:v>
      </x:c>
      <x:c r="H27" s="29" t="str">
        <x:v>Have</x:v>
      </x:c>
      <x:c r="I27" s="21" t="str">
        <x:v>PMMS weekly and monthly derivatives are available.</x:v>
      </x:c>
    </x:row>
    <x:row r="28" ht="78" customHeight="1">
      <x:c r="A28" s="20" t="n">
        <x:v>24</x:v>
      </x:c>
      <x:c r="B28" s="20" t="str">
        <x:v>AVAILABLE VARIABLES - Homeowners</x:v>
      </x:c>
      <x:c r="C28" s="20" t="str">
        <x:v>Single-Family Housing Starts (permits)</x:v>
      </x:c>
      <x:c r="D28" s="20" t="str">
        <x:v>Census BPS (1-unit permits)</x:v>
      </x:c>
      <x:c r="E28" s="20" t="str">
        <x:v>None stated</x:v>
      </x:c>
      <x:c r="F28" s="20" t="str">
        <x:v>Latest methodology corrects the label to one-unit permits/authorizations</x:v>
      </x:c>
      <x:c r="G28" s="20" t="str">
        <x:v>permits_1_unit | permits_1_unit_annual_final</x:v>
      </x:c>
      <x:c r="H28" s="29" t="str">
        <x:v>Have</x:v>
      </x:c>
      <x:c r="I28" s="20" t="str">
        <x:v>Monthly 2000-2026 and separate final-annual LA County 1990-2025 permit series are available; neither is construction starts.</x:v>
      </x:c>
    </x:row>
    <x:row r="29" ht="78" customHeight="1">
      <x:c r="A29" s="21" t="n">
        <x:v>25</x:v>
      </x:c>
      <x:c r="B29" s="21" t="str">
        <x:v>AVAILABLE VARIABLES - Renters</x:v>
      </x:c>
      <x:c r="C29" s="21" t="str">
        <x:v>Market Rent Index (ZORI)</x:v>
      </x:c>
      <x:c r="D29" s="21" t="str">
        <x:v>Zillow Research</x:v>
      </x:c>
      <x:c r="E29" s="21" t="str">
        <x:v>None stated</x:v>
      </x:c>
      <x:c r="F29" s="21" t="str">
        <x:v>Latest/earlier Zillow rule retained</x:v>
      </x:c>
      <x:c r="G29" s="21" t="str">
        <x:v>zori_smoothed_sa</x:v>
      </x:c>
      <x:c r="H29" s="29" t="str">
        <x:v>Have</x:v>
      </x:c>
      <x:c r="I29" s="21" t="str">
        <x:v>County and ZIP source data are available with ZIP gaps.</x:v>
      </x:c>
    </x:row>
    <x:row r="30" ht="78" customHeight="1">
      <x:c r="A30" s="20" t="n">
        <x:v>26</x:v>
      </x:c>
      <x:c r="B30" s="20" t="str">
        <x:v>AVAILABLE VARIABLES - Renters</x:v>
      </x:c>
      <x:c r="C30" s="20" t="str">
        <x:v>Rent Growth (YoY / MoM)</x:v>
      </x:c>
      <x:c r="D30" s="20" t="str">
        <x:v>Zillow ZORI</x:v>
      </x:c>
      <x:c r="E30" s="20" t="str">
        <x:v>None stated</x:v>
      </x:c>
      <x:c r="F30" s="20" t="str">
        <x:v>Latest/earlier Zillow rule retained</x:v>
      </x:c>
      <x:c r="G30" s="20" t="str">
        <x:v>zori_growth_mom | zori_growth_yoy</x:v>
      </x:c>
      <x:c r="H30" s="29" t="str">
        <x:v>Have</x:v>
      </x:c>
      <x:c r="I30" s="20" t="str">
        <x:v>County and postal-ZIP exact-calendar growth fields are available with source gaps preserved.</x:v>
      </x:c>
    </x:row>
    <x:row r="31" ht="78" customHeight="1">
      <x:c r="A31" s="21" t="n">
        <x:v>27</x:v>
      </x:c>
      <x:c r="B31" s="21" t="str">
        <x:v>AVAILABLE VARIABLES - Renters</x:v>
      </x:c>
      <x:c r="C31" s="21" t="str">
        <x:v>Rental Inventory</x:v>
      </x:c>
      <x:c r="D31" s="21" t="str">
        <x:v>Zillow Observed Rent Index / Listings</x:v>
      </x:c>
      <x:c r="E31" s="21" t="str">
        <x:v>None stated</x:v>
      </x:c>
      <x:c r="F31" s="21" t="str">
        <x:v>Latest methodology supersedes the old Zillow-listings wording and requires the true target to remain missing</x:v>
      </x:c>
      <x:c r="G31" s="21" t="str">
        <x:v>rental_listing_inventory_monthly</x:v>
      </x:c>
      <x:c r="H31" s="33" t="str">
        <x:v>Do not have</x:v>
      </x:c>
      <x:c r="I31" s="21" t="str">
        <x:v>ACS and HUD-USPS exist only as separate proxies.</x:v>
      </x:c>
    </x:row>
    <x:row r="32" ht="78" customHeight="1">
      <x:c r="A32" s="20" t="n">
        <x:v>28</x:v>
      </x:c>
      <x:c r="B32" s="20" t="str">
        <x:v>AVAILABLE VARIABLES - Renters</x:v>
      </x:c>
      <x:c r="C32" s="20" t="str">
        <x:v>Rental Vacancy (HVS / CPS)</x:v>
      </x:c>
      <x:c r="D32" s="20" t="str">
        <x:v>Census Housing Vacancy Survey</x:v>
      </x:c>
      <x:c r="E32" s="20" t="str">
        <x:v>None stated</x:v>
      </x:c>
      <x:c r="F32" s="20" t="str">
        <x:v>Earlier tracker retained; latest methodology classifies HVS as context</x:v>
      </x:c>
      <x:c r="G32" s="20" t="str">
        <x:v>hvs_rental_vacancy_rate_ca | hvs_rental_vacancy_rate_la_metro</x:v>
      </x:c>
      <x:c r="H32" s="29" t="str">
        <x:v>Have</x:v>
      </x:c>
      <x:c r="I32" s="20" t="str">
        <x:v>State and metro quarterly vacancy rates are available.</x:v>
      </x:c>
    </x:row>
    <x:row r="33" ht="78" customHeight="1">
      <x:c r="A33" s="21" t="n">
        <x:v>29</x:v>
      </x:c>
      <x:c r="B33" s="21" t="str">
        <x:v>AVAILABLE VARIABLES - Renters</x:v>
      </x:c>
      <x:c r="C33" s="21" t="str">
        <x:v>Multifamily Permits (5+ units)</x:v>
      </x:c>
      <x:c r="D33" s="21" t="str">
        <x:v>Census BPS</x:v>
      </x:c>
      <x:c r="E33" s="21" t="str">
        <x:v>None stated</x:v>
      </x:c>
      <x:c r="F33" s="21" t="str">
        <x:v>Earlier tracker retained</x:v>
      </x:c>
      <x:c r="G33" s="21" t="str">
        <x:v>permits_5_plus_units</x:v>
      </x:c>
      <x:c r="H33" s="29" t="str">
        <x:v>Have</x:v>
      </x:c>
      <x:c r="I33" s="21" t="str">
        <x:v>County and state monthly authorizations are available.</x:v>
      </x:c>
    </x:row>
    <x:row r="34" ht="78" customHeight="1">
      <x:c r="A34" s="20" t="n">
        <x:v>30</x:v>
      </x:c>
      <x:c r="B34" s="20" t="str">
        <x:v>AVAILABLE VARIABLES - Overall Housing Market</x:v>
      </x:c>
      <x:c r="C34" s="20" t="str">
        <x:v>Price-to-Rent Ratio</x:v>
      </x:c>
      <x:c r="D34" s="20" t="str">
        <x:v>Constructed from FHFA / ZORI</x:v>
      </x:c>
      <x:c r="E34" s="20" t="str">
        <x:v>None stated</x:v>
      </x:c>
      <x:c r="F34" s="20" t="str">
        <x:v>Latest methodology supersedes prior FHFA/ZORI construction: Zillow ZHVI/ZORI is canonical</x:v>
      </x:c>
      <x:c r="G34" s="20" t="str">
        <x:v>price_to_rent_ratio_zillow</x:v>
      </x:c>
      <x:c r="H34" s="29" t="str">
        <x:v>Have</x:v>
      </x:c>
      <x:c r="I34" s="20" t="str">
        <x:v>Canonical county and postal-ZIP fields and gross-yield inverse are implemented with matched-month positivity checks.</x:v>
      </x:c>
    </x:row>
    <x:row r="35" ht="78" customHeight="1">
      <x:c r="A35" s="21" t="n">
        <x:v>31</x:v>
      </x:c>
      <x:c r="B35" s="21" t="str">
        <x:v>AVAILABLE VARIABLES - Overall Housing Market</x:v>
      </x:c>
      <x:c r="C35" s="21" t="str">
        <x:v>Housing Turnover</x:v>
      </x:c>
      <x:c r="D35" s="21" t="str">
        <x:v>Redfin (sales / inventory)</x:v>
      </x:c>
      <x:c r="E35" s="21" t="str">
        <x:v>None stated</x:v>
      </x:c>
      <x:c r="F35" s="21" t="str">
        <x:v>Earlier Redfin proxy retained</x:v>
      </x:c>
      <x:c r="G35" s="21" t="str">
        <x:v>sales_to_inventory_ratio | inventory_to_sales_ratio</x:v>
      </x:c>
      <x:c r="H35" s="29" t="str">
        <x:v>Have</x:v>
      </x:c>
      <x:c r="I35" s="21" t="str">
        <x:v>The listed liquidity proxy is implemented; it remains explicitly distinct from a sales/housing-stock measure.</x:v>
      </x:c>
    </x:row>
    <x:row r="36" ht="78" customHeight="1">
      <x:c r="A36" s="20" t="n">
        <x:v>32</x:v>
      </x:c>
      <x:c r="B36" s="20" t="str">
        <x:v>AVAILABLE VARIABLES - Overall Housing Market</x:v>
      </x:c>
      <x:c r="C36" s="20" t="str">
        <x:v>Market Time (Days on Market)</x:v>
      </x:c>
      <x:c r="D36" s="20" t="str">
        <x:v>Redfin Data Center</x:v>
      </x:c>
      <x:c r="E36" s="20" t="str">
        <x:v>None stated</x:v>
      </x:c>
      <x:c r="F36" s="20" t="str">
        <x:v>Earlier tracker retained</x:v>
      </x:c>
      <x:c r="G36" s="20" t="str">
        <x:v>days_on_market | redfin_zip_median_days_on_market_rolling_3m</x:v>
      </x:c>
      <x:c r="H36" s="29" t="str">
        <x:v>Have</x:v>
      </x:c>
      <x:c r="I36" s="20" t="str">
        <x:v>County and ZIP rolling series are available.</x:v>
      </x:c>
    </x:row>
    <x:row r="37" ht="78" customHeight="1">
      <x:c r="A37" s="21" t="n">
        <x:v>33</x:v>
      </x:c>
      <x:c r="B37" s="21" t="str">
        <x:v>AVAILABLE VARIABLES - Overall Housing Market</x:v>
      </x:c>
      <x:c r="C37" s="21" t="str">
        <x:v>Share of Homes with Price Drops</x:v>
      </x:c>
      <x:c r="D37" s="21" t="str">
        <x:v>Redfin Data Center</x:v>
      </x:c>
      <x:c r="E37" s="21" t="str">
        <x:v>None stated</x:v>
      </x:c>
      <x:c r="F37" s="21" t="str">
        <x:v>Earlier tracker retained</x:v>
      </x:c>
      <x:c r="G37" s="21" t="str">
        <x:v>price_drop_share</x:v>
      </x:c>
      <x:c r="H37" s="29" t="str">
        <x:v>Have</x:v>
      </x:c>
      <x:c r="I37" s="21" t="str">
        <x:v>172/173 county months are non-null.</x:v>
      </x:c>
    </x:row>
    <x:row r="38" ht="78" customHeight="1">
      <x:c r="A38" s="20" t="n">
        <x:v>34</x:v>
      </x:c>
      <x:c r="B38" s="20" t="str">
        <x:v>Population, Labor, Macro Controls</x:v>
      </x:c>
      <x:c r="C38" s="20" t="str">
        <x:v>Payroll Employment</x:v>
      </x:c>
      <x:c r="D38" s="20" t="str">
        <x:v>BLS CES</x:v>
      </x:c>
      <x:c r="E38" s="20" t="str">
        <x:v>None stated</x:v>
      </x:c>
      <x:c r="F38" s="20" t="str">
        <x:v>Earlier tracker retained</x:v>
      </x:c>
      <x:c r="G38" s="20" t="str">
        <x:v>ces_total_nonfarm_employment_sa</x:v>
      </x:c>
      <x:c r="H38" s="29" t="str">
        <x:v>Have</x:v>
      </x:c>
      <x:c r="I38" s="20" t="str">
        <x:v>LA metro monthly series is available.</x:v>
      </x:c>
    </x:row>
    <x:row r="39" ht="78" customHeight="1">
      <x:c r="A39" s="21" t="n">
        <x:v>35</x:v>
      </x:c>
      <x:c r="B39" s="21" t="str">
        <x:v>Population, Labor, Macro Controls</x:v>
      </x:c>
      <x:c r="C39" s="21" t="str">
        <x:v>Unemployment Rate</x:v>
      </x:c>
      <x:c r="D39" s="21" t="str">
        <x:v>BLS LAUS</x:v>
      </x:c>
      <x:c r="E39" s="21" t="str">
        <x:v>None stated</x:v>
      </x:c>
      <x:c r="F39" s="21" t="str">
        <x:v>Earlier tracker retained</x:v>
      </x:c>
      <x:c r="G39" s="21" t="str">
        <x:v>unemployment_rate</x:v>
      </x:c>
      <x:c r="H39" s="29" t="str">
        <x:v>Have</x:v>
      </x:c>
      <x:c r="I39" s="21" t="str">
        <x:v>436/437 LA County months are non-null.</x:v>
      </x:c>
    </x:row>
    <x:row r="40" ht="78" customHeight="1">
      <x:c r="A40" s="20" t="n">
        <x:v>36</x:v>
      </x:c>
      <x:c r="B40" s="20" t="str">
        <x:v>Population, Labor, Macro Controls</x:v>
      </x:c>
      <x:c r="C40" s="20" t="str">
        <x:v>Labor Force</x:v>
      </x:c>
      <x:c r="D40" s="20" t="str">
        <x:v>BLS LAUS</x:v>
      </x:c>
      <x:c r="E40" s="20" t="str">
        <x:v>None stated</x:v>
      </x:c>
      <x:c r="F40" s="20" t="str">
        <x:v>Earlier tracker retained</x:v>
      </x:c>
      <x:c r="G40" s="20" t="str">
        <x:v>labor_force | employment | unemployment</x:v>
      </x:c>
      <x:c r="H40" s="29" t="str">
        <x:v>Have</x:v>
      </x:c>
      <x:c r="I40" s="20" t="str">
        <x:v>436/437 months are non-null per component.</x:v>
      </x:c>
    </x:row>
    <x:row r="41" ht="78" customHeight="1">
      <x:c r="A41" s="21" t="n">
        <x:v>37</x:v>
      </x:c>
      <x:c r="B41" s="21" t="str">
        <x:v>Population, Labor, Macro Controls</x:v>
      </x:c>
      <x:c r="C41" s="21" t="str">
        <x:v>Personal Income (proxy)</x:v>
      </x:c>
      <x:c r="D41" s="21" t="str">
        <x:v>BEA</x:v>
      </x:c>
      <x:c r="E41" s="21" t="str">
        <x:v>None stated</x:v>
      </x:c>
      <x:c r="F41" s="21" t="str">
        <x:v>Earlier tracker retained</x:v>
      </x:c>
      <x:c r="G41" s="21" t="str">
        <x:v>bea_ca_personal_income_q_sa | bea_la_county_personal_income_annual</x:v>
      </x:c>
      <x:c r="H41" s="29" t="str">
        <x:v>Have</x:v>
      </x:c>
      <x:c r="I41" s="21" t="str">
        <x:v>Both listed native-frequency series are implemented: California quarterly and LA County annual.</x:v>
      </x:c>
    </x:row>
    <x:row r="42" ht="78" customHeight="1">
      <x:c r="A42" s="20" t="n">
        <x:v>38</x:v>
      </x:c>
      <x:c r="B42" s="20" t="str">
        <x:v>Population, Labor, Macro Controls</x:v>
      </x:c>
      <x:c r="C42" s="20" t="str">
        <x:v>CPI / Inflation</x:v>
      </x:c>
      <x:c r="D42" s="20" t="str">
        <x:v>BLS CPI-U</x:v>
      </x:c>
      <x:c r="E42" s="20" t="str">
        <x:v>None stated</x:v>
      </x:c>
      <x:c r="F42" s="20" t="str">
        <x:v>Earlier tracker retained</x:v>
      </x:c>
      <x:c r="G42" s="20" t="str">
        <x:v>cpi_u_all_items_la_nsa</x:v>
      </x:c>
      <x:c r="H42" s="29" t="str">
        <x:v>Have</x:v>
      </x:c>
      <x:c r="I42" s="20" t="str">
        <x:v>1,094/1,095 LA metro observations are non-null.</x:v>
      </x:c>
    </x:row>
  </x:sheetData>
  <x:mergeCells>
    <x:mergeCell ref="A1:I1"/>
    <x:mergeCell ref="A2:I2"/>
    <x:mergeCell ref="A3:I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15" hidden="0" customWidth="1"/>
    <x:col min="4" max="4" width="15" hidden="0" customWidth="1"/>
    <x:col min="5" max="5" width="14" hidden="0" customWidth="1"/>
    <x:col min="6" max="6" width="14" hidden="0" customWidth="1"/>
    <x:col min="7" max="7" width="60" hidden="0" customWidth="1"/>
  </x:cols>
  <x:sheetData>
    <x:row r="1" ht="30" customHeight="1">
      <x:c r="A1" s="3" t="str">
        <x:v>Workbook QA Checks</x:v>
      </x:c>
      <x:c r="B1" s="3"/>
      <x:c r="C1" s="3"/>
      <x:c r="D1" s="3"/>
      <x:c r="E1" s="3"/>
      <x:c r="F1" s="3"/>
      <x:c r="G1" s="3"/>
    </x:row>
    <x:row r="2" ht="34" customHeight="1">
      <x:c r="A2" s="7" t="str">
        <x:v>These checks protect source compliance, configured-ID completeness, crosswalk completeness, and the distinction between targets and proxies.</x:v>
      </x:c>
      <x:c r="B2" s="7"/>
      <x:c r="C2" s="7"/>
      <x:c r="D2" s="7"/>
      <x:c r="E2" s="7"/>
      <x:c r="F2" s="7"/>
      <x:c r="G2" s="7"/>
    </x:row>
    <x:row r="3" ht="38" customHeight="1">
      <x:c r="A3" s="11" t="str">
        <x:v>A FAIL means the workbook should not be used until corrected. Formula cells are intentionally retained for auditability.</x:v>
      </x:c>
      <x:c r="B3" s="11"/>
      <x:c r="C3" s="11"/>
      <x:c r="D3" s="11"/>
      <x:c r="E3" s="11"/>
      <x:c r="F3" s="11"/>
      <x:c r="G3" s="11"/>
    </x:row>
    <x:row r="4" ht="38" customHeight="1">
      <x:c r="A4" s="17" t="str">
        <x:v>Check ID</x:v>
      </x:c>
      <x:c r="B4" s="17" t="str">
        <x:v>Rule</x:v>
      </x:c>
      <x:c r="C4" s="17" t="str">
        <x:v>Expected</x:v>
      </x:c>
      <x:c r="D4" s="17" t="str">
        <x:v>Actual</x:v>
      </x:c>
      <x:c r="E4" s="17" t="str">
        <x:v>Result</x:v>
      </x:c>
      <x:c r="F4" s="17" t="str">
        <x:v>Severity</x:v>
      </x:c>
      <x:c r="G4" s="17" t="str">
        <x:v>Why it matters</x:v>
      </x:c>
    </x:row>
    <x:row r="5" ht="56" customHeight="1">
      <x:c r="A5" s="21" t="str">
        <x:v>QA-01</x:v>
      </x:c>
      <x:c r="B5" s="21" t="str">
        <x:v>All earlier requirements are present</x:v>
      </x:c>
      <x:c r="C5" s="21" t="n">
        <x:v>38</x:v>
      </x:c>
      <x:c r="D5" s="21" t="n">
        <x:f>COUNTA('Prior Requirements'!C5:C42)</x:f>
        <x:v>38</x:v>
      </x:c>
      <x:c r="E5" s="28" t="str">
        <x:f>IF(D5=C5,"PASS","FAIL")</x:f>
        <x:v>PASS</x:v>
      </x:c>
      <x:c r="F5" s="21" t="str">
        <x:v>Critical</x:v>
      </x:c>
      <x:c r="G5" s="21" t="str">
        <x:v>Every earlier row must be crosswalked.</x:v>
      </x:c>
    </x:row>
    <x:row r="6" ht="56" customHeight="1">
      <x:c r="A6" s="20" t="str">
        <x:v>QA-02</x:v>
      </x:c>
      <x:c r="B6" s="20" t="str">
        <x:v>Canonical inventory row count</x:v>
      </x:c>
      <x:c r="C6" s="20" t="n">
        <x:v>52</x:v>
      </x:c>
      <x:c r="D6" s="20" t="n">
        <x:f>COUNTA('Variable Inventory'!C5:C56)</x:f>
        <x:v>52</x:v>
      </x:c>
      <x:c r="E6" s="28" t="str">
        <x:f>IF(D6=C6,"PASS","FAIL")</x:f>
        <x:v>PASS</x:v>
      </x:c>
      <x:c r="F6" s="20" t="str">
        <x:v>Critical</x:v>
      </x:c>
      <x:c r="G6" s="20" t="str">
        <x:v>Inventory count must equal the declared canonical-group count.</x:v>
      </x:c>
    </x:row>
    <x:row r="7" ht="56" customHeight="1">
      <x:c r="A7" s="21" t="str">
        <x:v>QA-03</x:v>
      </x:c>
      <x:c r="B7" s="21" t="str">
        <x:v>Availability categories reconcile to total</x:v>
      </x:c>
      <x:c r="C7" s="21" t="n">
        <x:v>52</x:v>
      </x:c>
      <x:c r="D7" s="21" t="n">
        <x:f>COUNTIF('Variable Inventory'!F5:F56,"Have")+COUNTIF('Variable Inventory'!F5:F56,"Partial")+COUNTIF('Variable Inventory'!F5:F56,"Do not have")</x:f>
        <x:v>52</x:v>
      </x:c>
      <x:c r="E7" s="28" t="str">
        <x:f>IF(D7=C7,"PASS","FAIL")</x:f>
        <x:v>PASS</x:v>
      </x:c>
      <x:c r="F7" s="21" t="str">
        <x:v>Critical</x:v>
      </x:c>
      <x:c r="G7" s="21" t="str">
        <x:v>No uncategorized availability values.</x:v>
      </x:c>
    </x:row>
    <x:row r="8" ht="56" customHeight="1">
      <x:c r="A8" s="20" t="str">
        <x:v>QA-04</x:v>
      </x:c>
      <x:c r="B8" s="20" t="str">
        <x:v>Known group-level source-compliance violations</x:v>
      </x:c>
      <x:c r="C8" s="20" t="n">
        <x:v>1</x:v>
      </x:c>
      <x:c r="D8" s="20" t="n">
        <x:f>COUNTIF('Variable Inventory'!K5:K56,"Non-compliant")</x:f>
        <x:v>1</x:v>
      </x:c>
      <x:c r="E8" s="28" t="str">
        <x:f>IF(D8=C8,"PASS","FAIL")</x:f>
        <x:v>PASS</x:v>
      </x:c>
      <x:c r="F8" s="20" t="str">
        <x:v>Critical</x:v>
      </x:c>
      <x:c r="G8" s="20" t="str">
        <x:v>The physically present HMDA group must remain explicitly marked non-compliant with the latest document until methodology authorization changes.</x:v>
      </x:c>
    </x:row>
    <x:row r="9" ht="56" customHeight="1">
      <x:c r="A9" s="21" t="str">
        <x:v>QA-05</x:v>
      </x:c>
      <x:c r="B9" s="21" t="str">
        <x:v>Partial/missing rows with blank exact stuck step</x:v>
      </x:c>
      <x:c r="C9" s="21" t="n">
        <x:v>0</x:v>
      </x:c>
      <x:c r="D9" s="21" t="n">
        <x:f>COUNTIFS('Variable Inventory'!F5:F56,"&lt;&gt;Have",'Variable Inventory'!P5:P56,"")</x:f>
        <x:v>0</x:v>
      </x:c>
      <x:c r="E9" s="28" t="str">
        <x:f>IF(D9=C9,"PASS","FAIL")</x:f>
        <x:v>PASS</x:v>
      </x:c>
      <x:c r="F9" s="21" t="str">
        <x:v>Critical</x:v>
      </x:c>
      <x:c r="G9" s="21" t="str">
        <x:v>Every incomplete target must say exactly where it is stuck.</x:v>
      </x:c>
    </x:row>
    <x:row r="10" ht="56" customHeight="1">
      <x:c r="A10" s="20" t="str">
        <x:v>QA-06</x:v>
      </x:c>
      <x:c r="B10" s="20" t="str">
        <x:v>Partial/missing rows with blank gap clarification</x:v>
      </x:c>
      <x:c r="C10" s="20" t="n">
        <x:v>0</x:v>
      </x:c>
      <x:c r="D10" s="20" t="n">
        <x:f>COUNTIFS('Variable Inventory'!F5:F56,"&lt;&gt;Have",'Variable Inventory'!N5:N56,"")</x:f>
        <x:v>0</x:v>
      </x:c>
      <x:c r="E10" s="28" t="str">
        <x:f>IF(D10=C10,"PASS","FAIL")</x:f>
        <x:v>PASS</x:v>
      </x:c>
      <x:c r="F10" s="20" t="str">
        <x:v>Critical</x:v>
      </x:c>
      <x:c r="G10" s="20" t="str">
        <x:v>Every incomplete target must clarify its gap.</x:v>
      </x:c>
    </x:row>
    <x:row r="11" ht="56" customHeight="1">
      <x:c r="A11" s="21" t="str">
        <x:v>QA-07</x:v>
      </x:c>
      <x:c r="B11" s="21" t="str">
        <x:v>True monthly rental-listing target is present and missing</x:v>
      </x:c>
      <x:c r="C11" s="21" t="n">
        <x:v>1</x:v>
      </x:c>
      <x:c r="D11" s="21" t="n">
        <x:f>COUNTIFS('Variable Inventory'!C5:C56,"rental_listing_inventory_monthly",'Variable Inventory'!F5:F56,"Do not have")</x:f>
        <x:v>1</x:v>
      </x:c>
      <x:c r="E11" s="28" t="str">
        <x:f>IF(D11=C11,"PASS","FAIL")</x:f>
        <x:v>PASS</x:v>
      </x:c>
      <x:c r="F11" s="21" t="str">
        <x:v>Critical</x:v>
      </x:c>
      <x:c r="G11" s="21" t="str">
        <x:v>Prevents a proxy from being counted as true rental inventory.</x:v>
      </x:c>
    </x:row>
    <x:row r="12" ht="56" customHeight="1">
      <x:c r="A12" s="20" t="str">
        <x:v>QA-08</x:v>
      </x:c>
      <x:c r="B12" s="20" t="str">
        <x:v>Separate ACS and HUD-USPS rental-supply proxy rows</x:v>
      </x:c>
      <x:c r="C12" s="20" t="n">
        <x:v>2</x:v>
      </x:c>
      <x:c r="D12" s="20" t="n">
        <x:f>COUNTIF('Variable Inventory'!C5:C56,"acs_rental_availability_rate")+COUNTIF('Variable Inventory'!D5:D56,"HUD-USPS quarterly residential vacancy proxy")</x:f>
        <x:v>2</x:v>
      </x:c>
      <x:c r="E12" s="28" t="str">
        <x:f>IF(D12=C12,"PASS","FAIL")</x:f>
        <x:v>PASS</x:v>
      </x:c>
      <x:c r="F12" s="20" t="str">
        <x:v>Critical</x:v>
      </x:c>
      <x:c r="G12" s="20" t="str">
        <x:v>Proxy separation is required by the latest methodology.</x:v>
      </x:c>
    </x:row>
    <x:row r="13" ht="56" customHeight="1">
      <x:c r="A13" s="21" t="str">
        <x:v>QA-09</x:v>
      </x:c>
      <x:c r="B13" s="21" t="str">
        <x:v>Blank allowed-source descriptions</x:v>
      </x:c>
      <x:c r="C13" s="21" t="n">
        <x:v>0</x:v>
      </x:c>
      <x:c r="D13" s="21" t="n">
        <x:f>COUNTBLANK('Variable Inventory'!I5:I56)</x:f>
        <x:v>0</x:v>
      </x:c>
      <x:c r="E13" s="28" t="str">
        <x:f>IF(D13=C13,"PASS","FAIL")</x:f>
        <x:v>PASS</x:v>
      </x:c>
      <x:c r="F13" s="21" t="str">
        <x:v>Critical</x:v>
      </x:c>
      <x:c r="G13" s="21" t="str">
        <x:v>A missing source is recorded explicitly as no verified source, not as a silent blank.</x:v>
      </x:c>
    </x:row>
    <x:row r="14" ht="56" customHeight="1">
      <x:c r="A14" s="20" t="str">
        <x:v>QA-10</x:v>
      </x:c>
      <x:c r="B14" s="20" t="str">
        <x:v>Earlier requirements with blank canonical mapping</x:v>
      </x:c>
      <x:c r="C14" s="20" t="n">
        <x:v>0</x:v>
      </x:c>
      <x:c r="D14" s="20" t="n">
        <x:f>COUNTBLANK('Prior Requirements'!G5:G42)</x:f>
        <x:v>0</x:v>
      </x:c>
      <x:c r="E14" s="28" t="str">
        <x:f>IF(D14=C14,"PASS","FAIL")</x:f>
        <x:v>PASS</x:v>
      </x:c>
      <x:c r="F14" s="20" t="str">
        <x:v>Critical</x:v>
      </x:c>
      <x:c r="G14" s="20" t="str">
        <x:v>Every previous requirement must map to the authoritative inventory.</x:v>
      </x:c>
    </x:row>
    <x:row r="15" ht="56" customHeight="1">
      <x:c r="A15" s="21" t="str">
        <x:v>QA-11</x:v>
      </x:c>
      <x:c r="B15" s="21" t="str">
        <x:v>Configured variable ID row count</x:v>
      </x:c>
      <x:c r="C15" s="21" t="n">
        <x:v>251</x:v>
      </x:c>
      <x:c r="D15" s="21" t="n">
        <x:f>COUNTA('Configured IDs'!C5:C255)</x:f>
        <x:v>251</x:v>
      </x:c>
      <x:c r="E15" s="28" t="str">
        <x:f>IF(D15=C15,"PASS","FAIL")</x:f>
        <x:v>PASS</x:v>
      </x:c>
      <x:c r="F15" s="21" t="str">
        <x:v>Critical</x:v>
      </x:c>
      <x:c r="G15" s="21" t="str">
        <x:v>Every configured ID must be listed individually.</x:v>
      </x:c>
    </x:row>
    <x:row r="16" ht="56" customHeight="1">
      <x:c r="A16" s="20" t="str">
        <x:v>QA-12</x:v>
      </x:c>
      <x:c r="B16" s="20" t="str">
        <x:v>Configured IDs with non-null current output</x:v>
      </x:c>
      <x:c r="C16" s="20" t="n">
        <x:v>239</x:v>
      </x:c>
      <x:c r="D16" s="20" t="n">
        <x:f>COUNTIF('Configured IDs'!F5:F255,"Have")</x:f>
        <x:v>239</x:v>
      </x:c>
      <x:c r="E16" s="28" t="str">
        <x:f>IF(D16=C16,"PASS","FAIL")</x:f>
        <x:v>PASS</x:v>
      </x:c>
      <x:c r="F16" s="20" t="str">
        <x:v>Critical</x:v>
      </x:c>
      <x:c r="G16" s="20" t="str">
        <x:v>All general IDs and 55 Version A IDs have non-null output.</x:v>
      </x:c>
    </x:row>
    <x:row r="17" ht="56" customHeight="1">
      <x:c r="A17" s="21" t="str">
        <x:v>QA-13</x:v>
      </x:c>
      <x:c r="B17" s="21" t="str">
        <x:v>Configured schema-only IDs</x:v>
      </x:c>
      <x:c r="C17" s="21" t="n">
        <x:v>12</x:v>
      </x:c>
      <x:c r="D17" s="21" t="n">
        <x:f>COUNTIF('Configured IDs'!F5:F255,"Schema only")</x:f>
        <x:v>12</x:v>
      </x:c>
      <x:c r="E17" s="28" t="str">
        <x:f>IF(D17=C17,"PASS","FAIL")</x:f>
        <x:v>PASS</x:v>
      </x:c>
      <x:c r="F17" s="21" t="str">
        <x:v>Critical</x:v>
      </x:c>
      <x:c r="G17" s="21" t="str">
        <x:v>The all-null calibrated Version A fields must remain explicit.</x:v>
      </x:c>
    </x:row>
    <x:row r="18" ht="56" customHeight="1">
      <x:c r="A18" s="20" t="str">
        <x:v>QA-14</x:v>
      </x:c>
      <x:c r="B18" s="20" t="str">
        <x:v>Configured IDs absent from current outputs</x:v>
      </x:c>
      <x:c r="C18" s="20" t="n">
        <x:v>0</x:v>
      </x:c>
      <x:c r="D18" s="20" t="n">
        <x:f>COUNTIF('Configured IDs'!F5:F255,"Absent")</x:f>
        <x:v>0</x:v>
      </x:c>
      <x:c r="E18" s="28" t="str">
        <x:f>IF(D18=C18,"PASS","FAIL")</x:f>
        <x:v>PASS</x:v>
      </x:c>
      <x:c r="F18" s="20" t="str">
        <x:v>Critical</x:v>
      </x:c>
      <x:c r="G18" s="20" t="str">
        <x:v>No configured ID may disappear silently.</x:v>
      </x:c>
    </x:row>
    <x:row r="19" ht="56" customHeight="1">
      <x:c r="A19" s="21" t="str">
        <x:v>QA-15</x:v>
      </x:c>
      <x:c r="B19" s="21" t="str">
        <x:v>Version A configured ID count</x:v>
      </x:c>
      <x:c r="C19" s="21" t="n">
        <x:v>67</x:v>
      </x:c>
      <x:c r="D19" s="21" t="n">
        <x:f>COUNTIF('Configured IDs'!B5:B255,"Version A")</x:f>
        <x:v>67</x:v>
      </x:c>
      <x:c r="E19" s="28" t="str">
        <x:f>IF(D19=C19,"PASS","FAIL")</x:f>
        <x:v>PASS</x:v>
      </x:c>
      <x:c r="F19" s="21" t="str">
        <x:v>Critical</x:v>
      </x:c>
      <x:c r="G19" s="21" t="str">
        <x:v>The Version A contract must reconcile to all 67 configured IDs.</x:v>
      </x:c>
    </x:row>
    <x:row r="20" ht="56" customHeight="1">
      <x:c r="A20" s="20" t="str">
        <x:v>QA-16</x:v>
      </x:c>
      <x:c r="B20" s="20" t="str">
        <x:v>Per-variable source-audit row count</x:v>
      </x:c>
      <x:c r="C20" s="20" t="n">
        <x:v>251</x:v>
      </x:c>
      <x:c r="D20" s="20" t="n">
        <x:f>COUNTA('Source Audit'!C5:C255)</x:f>
        <x:v>251</x:v>
      </x:c>
      <x:c r="E20" s="28" t="str">
        <x:f>IF(D20=C20,"PASS","FAIL")</x:f>
        <x:v>PASS</x:v>
      </x:c>
      <x:c r="F20" s="20" t="str">
        <x:v>Critical</x:v>
      </x:c>
      <x:c r="G20" s="20" t="str">
        <x:v>Every configured ID must receive a separate source-authorization judgment.</x:v>
      </x:c>
    </x:row>
    <x:row r="21" ht="56" customHeight="1">
      <x:c r="A21" s="21" t="str">
        <x:v>QA-17</x:v>
      </x:c>
      <x:c r="B21" s="21" t="str">
        <x:v>Latest-document categories reconcile</x:v>
      </x:c>
      <x:c r="C21" s="21" t="n">
        <x:v>251</x:v>
      </x:c>
      <x:c r="D21" s="21" t="n">
        <x:f>COUNTIF('Source Audit'!I5:I255,"Yes")+COUNTIF('Source Audit'!I5:I255,"Partial/context")+COUNTIF('Source Audit'!I5:I255,"No")</x:f>
        <x:v>251</x:v>
      </x:c>
      <x:c r="E21" s="28" t="str">
        <x:f>IF(D21=C21,"PASS","FAIL")</x:f>
        <x:v>PASS</x:v>
      </x:c>
      <x:c r="F21" s="21" t="str">
        <x:v>Critical</x:v>
      </x:c>
      <x:c r="G21" s="21" t="str">
        <x:v>No variable may be left without a latest-document relationship.</x:v>
      </x:c>
    </x:row>
    <x:row r="22" ht="56" customHeight="1">
      <x:c r="A22" s="20" t="str">
        <x:v>QA-18</x:v>
      </x:c>
      <x:c r="B22" s="20" t="str">
        <x:v>Blank implemented-source/provider labels</x:v>
      </x:c>
      <x:c r="C22" s="20" t="n">
        <x:v>0</x:v>
      </x:c>
      <x:c r="D22" s="20" t="n">
        <x:f>COUNTBLANK('Source Audit'!G5:G255)</x:f>
        <x:v>0</x:v>
      </x:c>
      <x:c r="E22" s="28" t="str">
        <x:f>IF(D22=C22,"PASS","FAIL")</x:f>
        <x:v>PASS</x:v>
      </x:c>
      <x:c r="F22" s="20" t="str">
        <x:v>Critical</x:v>
      </x:c>
      <x:c r="G22" s="20" t="str">
        <x:v>Every variable must disclose its current source ID/provider or construction lineage.</x:v>
      </x:c>
    </x:row>
    <x:row r="23" ht="56" customHeight="1">
      <x:c r="A23" s="21" t="str">
        <x:v>QA-19</x:v>
      </x:c>
      <x:c r="B23" s="21" t="str">
        <x:v>Latest-document No rows with blank current-use explanation</x:v>
      </x:c>
      <x:c r="C23" s="21" t="n">
        <x:v>0</x:v>
      </x:c>
      <x:c r="D23" s="21" t="n">
        <x:f>COUNTIFS('Source Audit'!I5:I255,"No",'Source Audit'!K5:K255,"")</x:f>
        <x:v>0</x:v>
      </x:c>
      <x:c r="E23" s="28" t="str">
        <x:f>IF(D23=C23,"PASS","FAIL")</x:f>
        <x:v>PASS</x:v>
      </x:c>
      <x:c r="F23" s="21" t="str">
        <x:v>Critical</x:v>
      </x:c>
      <x:c r="G23" s="21" t="str">
        <x:v>Every earlier/unlisted use must explain what that source is used for.</x:v>
      </x:c>
    </x:row>
    <x:row r="24" ht="56" customHeight="1">
      <x:c r="A24" s="20" t="str">
        <x:v>QA-20</x:v>
      </x:c>
      <x:c r="B24" s="20" t="str">
        <x:v>HMDA IDs labeled outside latest document</x:v>
      </x:c>
      <x:c r="C24" s="20" t="n">
        <x:v>28</x:v>
      </x:c>
      <x:c r="D24" s="20" t="n">
        <x:f>COUNTIF('Source Audit'!I228:I255,"No")</x:f>
        <x:v>28</x:v>
      </x:c>
      <x:c r="E24" s="28" t="str">
        <x:f>IF(D24=C24,"PASS","FAIL")</x:f>
        <x:v>PASS</x:v>
      </x:c>
      <x:c r="F24" s="20" t="str">
        <x:v>Critical</x:v>
      </x:c>
      <x:c r="G24" s="20" t="str">
        <x:v>The 28 contiguous HMDA audit rows are absent from the complete latest document even though all fields physically exist.</x:v>
      </x:c>
    </x:row>
  </x:sheetData>
  <x:mergeCells>
    <x:mergeCell ref="A1:G1"/>
    <x:mergeCell ref="A2:G2"/>
    <x:mergeCell ref="A3:G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5" hidden="0" customWidth="1"/>
    <x:col min="2" max="2" width="23" hidden="0" customWidth="1"/>
    <x:col min="3" max="3" width="27" hidden="0" customWidth="1"/>
    <x:col min="4" max="4" width="100" hidden="0" customWidth="1"/>
  </x:cols>
  <x:sheetData>
    <x:row r="1" ht="30" customHeight="1">
      <x:c r="A1" s="3" t="str">
        <x:v>Definitions and Interpretation Rules</x:v>
      </x:c>
      <x:c r="B1" s="3"/>
      <x:c r="C1" s="3"/>
      <x:c r="D1" s="3"/>
    </x:row>
    <x:row r="2" ht="34" customHeight="1">
      <x:c r="A2" s="7" t="str">
        <x:v>These definitions control the status counts and prevent proxies, scenarios, or modeled timing from being mistaken for observed target data.</x:v>
      </x:c>
      <x:c r="B2" s="7"/>
      <x:c r="C2" s="7"/>
      <x:c r="D2" s="7"/>
    </x:row>
    <x:row r="3" ht="38" customHeight="1">
      <x:c r="A3" s="11" t="str">
        <x:v>Use this sheet when filtering or interpreting the Variable Inventory and Coverage &amp; Gaps sheets.</x:v>
      </x:c>
      <x:c r="B3" s="11"/>
      <x:c r="C3" s="11"/>
      <x:c r="D3" s="11"/>
    </x:row>
    <x:row r="4" ht="38" customHeight="1">
      <x:c r="A4" s="17" t="str">
        <x:v>#</x:v>
      </x:c>
      <x:c r="B4" s="17" t="str">
        <x:v>Type</x:v>
      </x:c>
      <x:c r="C4" s="17" t="str">
        <x:v>Term</x:v>
      </x:c>
      <x:c r="D4" s="17" t="str">
        <x:v>Definition</x:v>
      </x:c>
    </x:row>
    <x:row r="5" ht="60" customHeight="1">
      <x:c r="A5" s="21" t="n">
        <x:v>1</x:v>
      </x:c>
      <x:c r="B5" s="21" t="str">
        <x:v>Inventory scope</x:v>
      </x:c>
      <x:c r="C5" s="21" t="str">
        <x:v>Methodology group</x:v>
      </x:c>
      <x:c r="D5" s="21" t="str">
        <x:v>One canonical concept row may map to several configured IDs. Group-level Have/Partial/Do not have counts answer the research requirement.</x:v>
      </x:c>
    </x:row>
    <x:row r="6" ht="60" customHeight="1">
      <x:c r="A6" s="20" t="n">
        <x:v>2</x:v>
      </x:c>
      <x:c r="B6" s="20" t="str">
        <x:v>Inventory scope</x:v>
      </x:c>
      <x:c r="C6" s="20" t="str">
        <x:v>Configured ID</x:v>
      </x:c>
      <x:c r="D6" s="20" t="str">
        <x:v>The Configured IDs sheet lists every one of the 251 contract IDs individually and distinguishes non-null output from schema-only output.</x:v>
      </x:c>
    </x:row>
    <x:row r="7" ht="60" customHeight="1">
      <x:c r="A7" s="21" t="n">
        <x:v>3</x:v>
      </x:c>
      <x:c r="B7" s="21" t="str">
        <x:v>Availability</x:v>
      </x:c>
      <x:c r="C7" s="21" t="str">
        <x:v>Have</x:v>
      </x:c>
      <x:c r="D7" s="21" t="str">
        <x:v>The active repository contains at least one non-null target observation. Qualification/gap fields may still identify source missingness, geography, or frequency limits.</x:v>
      </x:c>
    </x:row>
    <x:row r="8" ht="60" customHeight="1">
      <x:c r="A8" s="20" t="n">
        <x:v>4</x:v>
      </x:c>
      <x:c r="B8" s="20" t="str">
        <x:v>Availability</x:v>
      </x:c>
      <x:c r="C8" s="20" t="str">
        <x:v>Partial</x:v>
      </x:c>
      <x:c r="D8" s="20" t="str">
        <x:v>A formula-equivalent field, subset, input, alternate frequency/geography, or incomplete implementation exists, but the exact target is not fully satisfied.</x:v>
      </x:c>
    </x:row>
    <x:row r="9" ht="60" customHeight="1">
      <x:c r="A9" s="21" t="n">
        <x:v>5</x:v>
      </x:c>
      <x:c r="B9" s="21" t="str">
        <x:v>Availability</x:v>
      </x:c>
      <x:c r="C9" s="21" t="str">
        <x:v>Do not have</x:v>
      </x:c>
      <x:c r="D9" s="21" t="str">
        <x:v>No non-null target variable exists. Inputs, schemas, or proxies do not count as the target.</x:v>
      </x:c>
    </x:row>
    <x:row r="10" ht="60" customHeight="1">
      <x:c r="A10" s="20" t="n">
        <x:v>6</x:v>
      </x:c>
      <x:c r="B10" s="20" t="str">
        <x:v>Data class</x:v>
      </x:c>
      <x:c r="C10" s="20" t="str">
        <x:v>Observed</x:v>
      </x:c>
      <x:c r="D10" s="20" t="str">
        <x:v>Published provider observation at its true geography and native frequency.</x:v>
      </x:c>
    </x:row>
    <x:row r="11" ht="60" customHeight="1">
      <x:c r="A11" s="21" t="n">
        <x:v>7</x:v>
      </x:c>
      <x:c r="B11" s="21" t="str">
        <x:v>Data class</x:v>
      </x:c>
      <x:c r="C11" s="21" t="str">
        <x:v>Derived observed</x:v>
      </x:c>
      <x:c r="D11" s="21" t="str">
        <x:v>Deterministic transformation of listed observed inputs, with no silent imputation.</x:v>
      </x:c>
    </x:row>
    <x:row r="12" ht="60" customHeight="1">
      <x:c r="A12" s="20" t="n">
        <x:v>8</x:v>
      </x:c>
      <x:c r="B12" s="20" t="str">
        <x:v>Data class</x:v>
      </x:c>
      <x:c r="C12" s="20" t="str">
        <x:v>Scenario</x:v>
      </x:c>
      <x:c r="D12" s="20" t="str">
        <x:v>Assumption-based calculation; excluded from observed-data completeness.</x:v>
      </x:c>
    </x:row>
    <x:row r="13" ht="60" customHeight="1">
      <x:c r="A13" s="21" t="n">
        <x:v>9</x:v>
      </x:c>
      <x:c r="B13" s="21" t="str">
        <x:v>Data class</x:v>
      </x:c>
      <x:c r="C13" s="21" t="str">
        <x:v>Proxy</x:v>
      </x:c>
      <x:c r="D13" s="21" t="str">
        <x:v>A separately labeled measure related to, but not identical to, the requested concept.</x:v>
      </x:c>
    </x:row>
    <x:row r="14" ht="60" customHeight="1">
      <x:c r="A14" s="20" t="n">
        <x:v>10</x:v>
      </x:c>
      <x:c r="B14" s="20" t="str">
        <x:v>Data class</x:v>
      </x:c>
      <x:c r="C14" s="20" t="str">
        <x:v>Modeled</x:v>
      </x:c>
      <x:c r="D14" s="20" t="str">
        <x:v>Depends on a documented allocation, weighting, or structural model.</x:v>
      </x:c>
    </x:row>
    <x:row r="15" ht="60" customHeight="1">
      <x:c r="A15" s="21" t="n">
        <x:v>11</x:v>
      </x:c>
      <x:c r="B15" s="21" t="str">
        <x:v>Detailed status</x:v>
      </x:c>
      <x:c r="C15" s="21" t="str">
        <x:v>Schema only</x:v>
      </x:c>
      <x:c r="D15" s="21" t="str">
        <x:v>Field/table exists but every expected target value is null.</x:v>
      </x:c>
    </x:row>
    <x:row r="16" ht="60" customHeight="1">
      <x:c r="A16" s="20" t="n">
        <x:v>12</x:v>
      </x:c>
      <x:c r="B16" s="20" t="str">
        <x:v>Source audit</x:v>
      </x:c>
      <x:c r="C16" s="20" t="str">
        <x:v>Current availability</x:v>
      </x:c>
      <x:c r="D16" s="20" t="str">
        <x:v>Whether the repository has non-null output. This is independent of whether the latest methodology authorizes the source/use.</x:v>
      </x:c>
    </x:row>
    <x:row r="17" ht="60" customHeight="1">
      <x:c r="A17" s="21" t="n">
        <x:v>13</x:v>
      </x:c>
      <x:c r="B17" s="21" t="str">
        <x:v>Source audit</x:v>
      </x:c>
      <x:c r="C17" s="21" t="str">
        <x:v>Latest-doc: Yes</x:v>
      </x:c>
      <x:c r="D17" s="21" t="str">
        <x:v>The latest Additional Variables document explicitly assigns the source/use to this variable.</x:v>
      </x:c>
    </x:row>
    <x:row r="18" ht="60" customHeight="1">
      <x:c r="A18" s="20" t="n">
        <x:v>14</x:v>
      </x:c>
      <x:c r="B18" s="20" t="str">
        <x:v>Source audit</x:v>
      </x:c>
      <x:c r="C18" s="20" t="str">
        <x:v>Latest-doc: Partial/context</x:v>
      </x:c>
      <x:c r="D18" s="20" t="str">
        <x:v>The source or concept appears in the latest document, but only as context, a conditional future method, or without enough specificity to authorize the exact current variable-use.</x:v>
      </x:c>
    </x:row>
    <x:row r="19" ht="60" customHeight="1">
      <x:c r="A19" s="21" t="n">
        <x:v>15</x:v>
      </x:c>
      <x:c r="B19" s="21" t="str">
        <x:v>Source audit</x:v>
      </x:c>
      <x:c r="C19" s="21" t="str">
        <x:v>Latest-doc: No</x:v>
      </x:c>
      <x:c r="D19" s="21" t="str">
        <x:v>The variable/source use is outside the latest Additional Variables document and is retained from an earlier requirement or repository-only configuration.</x:v>
      </x:c>
    </x:row>
    <x:row r="20" ht="60" customHeight="1">
      <x:c r="A20" s="20" t="n">
        <x:v>16</x:v>
      </x:c>
      <x:c r="B20" s="20" t="str">
        <x:v>Source compliance</x:v>
      </x:c>
      <x:c r="C20" s="20" t="str">
        <x:v>Compliant</x:v>
      </x:c>
      <x:c r="D20" s="20" t="str">
        <x:v>Implemented source is one of the sources/method inputs listed for that variable under the governing approved methodology.</x:v>
      </x:c>
    </x:row>
    <x:row r="21" ht="60" customHeight="1">
      <x:c r="A21" s="21" t="n">
        <x:v>17</x:v>
      </x:c>
      <x:c r="B21" s="21" t="str">
        <x:v>Source compliance</x:v>
      </x:c>
      <x:c r="C21" s="21" t="str">
        <x:v>Not applicable</x:v>
      </x:c>
      <x:c r="D21" s="21" t="str">
        <x:v>No implementation exists, so no implemented source can be tested.</x:v>
      </x:c>
    </x:row>
    <x:row r="22" ht="60" customHeight="1">
      <x:c r="A22" s="20" t="n">
        <x:v>18</x:v>
      </x:c>
      <x:c r="B22" s="20" t="str">
        <x:v>Source compliance</x:v>
      </x:c>
      <x:c r="C22" s="20" t="str">
        <x:v>Non-compliant</x:v>
      </x:c>
      <x:c r="D22" s="20" t="str">
        <x:v>An implementation uses a source not authorized for that variable by the governing methodology. Existing data may still physically exist, but must be labeled outside compliant analyses.</x:v>
      </x:c>
    </x:row>
    <x:row r="23" ht="60" customHeight="1">
      <x:c r="A23" s="21" t="n">
        <x:v>19</x:v>
      </x:c>
      <x:c r="B23" s="21" t="str">
        <x:v>Gap rule</x:v>
      </x:c>
      <x:c r="C23" s="21" t="str">
        <x:v>Proxy separation</x:v>
      </x:c>
      <x:c r="D23" s="21" t="str">
        <x:v>ACS annual rental availability and HUD-USPS quarterly residential vacancy remain separate from true monthly rental-listing inventory.</x:v>
      </x:c>
    </x:row>
    <x:row r="24" ht="60" customHeight="1">
      <x:c r="A24" s="20" t="n">
        <x:v>20</x:v>
      </x:c>
      <x:c r="B24" s="20" t="str">
        <x:v>Geography rule</x:v>
      </x:c>
      <x:c r="C24" s="20" t="str">
        <x:v>Postal ZIP vs ZCTA</x:v>
      </x:c>
      <x:c r="D24" s="20" t="str">
        <x:v>Provider postal ZIP codes and Census ZCTAs are distinct and must never be silently relabeled.</x:v>
      </x:c>
    </x:row>
    <x:row r="25" ht="60" customHeight="1">
      <x:c r="A25" s="21" t="n">
        <x:v>21</x:v>
      </x:c>
      <x:c r="B25" s="21" t="str">
        <x:v>Frequency rule</x:v>
      </x:c>
      <x:c r="C25" s="21" t="str">
        <x:v>Native frequency</x:v>
      </x:c>
      <x:c r="D25" s="21" t="str">
        <x:v>Annual/quarterly data are not observed monthly values. Any carry-forward or allocation must be flagged modeled/interpolated.</x:v>
      </x:c>
    </x:row>
    <x:row r="26" ht="60" customHeight="1">
      <x:c r="A26" s="20" t="n">
        <x:v>22</x:v>
      </x:c>
      <x:c r="B26" s="20" t="str">
        <x:v>Precedence</x:v>
      </x:c>
      <x:c r="C26" s="20" t="str">
        <x:v>Latest standard</x:v>
      </x:c>
      <x:c r="D26" s="20" t="str">
        <x:v>The latest Additional Variables methodology overrides conflicting older FHFA/ZORI, insurance, rental-inventory, closing-cost, and permit-label language.</x:v>
      </x:c>
    </x:row>
  </x:sheetData>
  <x:mergeCells>
    <x:mergeCell ref="A1:D1"/>
    <x:mergeCell ref="A2:D2"/>
    <x:mergeCell ref="A3:D3"/>
  </x:mergeCells>
  <x:pageMargins left="0.7" right="0.7" top="0.75" bottom="0.75" header="0.3" footer="0.3"/>
</x:worksheet>
</file>