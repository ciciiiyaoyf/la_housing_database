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c0f8573d0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a4d5684c38e6430a"/>
    <x:sheet xmlns:r="http://schemas.openxmlformats.org/officeDocument/2006/relationships" name="Variable Comparison" sheetId="2" r:id="Rfbe440e9982e4718"/>
    <x:sheet xmlns:r="http://schemas.openxmlformats.org/officeDocument/2006/relationships" name="Actual Statistics" sheetId="3" r:id="R33e51c05626f41be"/>
    <x:sheet xmlns:r="http://schemas.openxmlformats.org/officeDocument/2006/relationships" name="Transformation Methods" sheetId="4" r:id="Rf00770dc61f048d3"/>
    <x:sheet xmlns:r="http://schemas.openxmlformats.org/officeDocument/2006/relationships" name="Sources &amp; Notes" sheetId="5" r:id="R537a3f9950544e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1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FFFFFF"/>
      <x:name val="Carlito"/>
    </x:font>
    <x:font>
      <x:b/>
      <x:sz val="10"/>
      <x:color rgb="FFFFFFFF"/>
      <x:name val="Carlito"/>
    </x:font>
    <x:font>
      <x:b/>
      <x:sz val="20"/>
      <x:color rgb="FF2F6B9A"/>
      <x:name val="Carlito"/>
    </x:font>
    <x:font>
      <x:b/>
      <x:sz val="20"/>
      <x:color rgb="FF397A5B"/>
      <x:name val="Carlito"/>
    </x:font>
    <x:font>
      <x:b/>
      <x:sz val="20"/>
      <x:color rgb="FF6C5B8C"/>
      <x:name val="Carlito"/>
    </x:font>
    <x:font>
      <x:b/>
      <x:sz val="20"/>
      <x:color rgb="FFB6862C"/>
      <x:name val="Carlito"/>
    </x:font>
    <x:font>
      <x:b/>
      <x:sz val="20"/>
      <x:color rgb="FF52616B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10"/>
      <x:color rgb="FF17212B"/>
      <x:name val="Carlito"/>
    </x:font>
    <x:font>
      <x:i/>
      <x:sz val="9"/>
      <x:color rgb="FF52616B"/>
      <x:name val="Carlito"/>
    </x:font>
    <x:font>
      <x:i/>
      <x:sz val="9"/>
      <x:color rgb="FF17212B"/>
      <x:name val="Carlito"/>
    </x:font>
    <x:font>
      <x:sz val="9"/>
      <x:color rgb="FF17212B"/>
      <x:name val="Aptos"/>
    </x:font>
    <x:font>
      <x:b/>
      <x:sz val="9"/>
      <x:color rgb="FF17212B"/>
      <x:name val="Aptos"/>
    </x:font>
    <x:font>
      <x:sz val="9"/>
      <x:color rgb="FFA94848"/>
      <x:name val="Aptos"/>
    </x:font>
  </x:fonts>
  <x:fills count="1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44A6A"/>
      </x:patternFill>
    </x:fill>
    <x:fill>
      <x:patternFill patternType="solid">
        <x:fgColor rgb="FF2F6B9A"/>
      </x:patternFill>
    </x:fill>
    <x:fill>
      <x:patternFill patternType="solid">
        <x:fgColor rgb="FFFFFFFF"/>
      </x:patternFill>
    </x:fill>
    <x:fill>
      <x:patternFill patternType="solid">
        <x:fgColor rgb="FF397A5B"/>
      </x:patternFill>
    </x:fill>
    <x:fill>
      <x:patternFill patternType="solid">
        <x:fgColor rgb="FF6C5B8C"/>
      </x:patternFill>
    </x:fill>
    <x:fill>
      <x:patternFill patternType="solid">
        <x:fgColor rgb="FFB6862C"/>
      </x:patternFill>
    </x:fill>
    <x:fill>
      <x:patternFill patternType="solid">
        <x:fgColor rgb="FF52616B"/>
      </x:patternFill>
    </x:fill>
    <x:fill>
      <x:patternFill patternType="solid">
        <x:fgColor rgb="FFF6EEDB"/>
      </x:patternFill>
    </x:fill>
    <x:fill>
      <x:patternFill patternType="solid">
        <x:fgColor rgb="FFE9EEF1"/>
      </x:patternFill>
    </x:fill>
    <x:fill>
      <x:patternFill patternType="solid">
        <x:fgColor rgb="FFDCEAF5"/>
      </x:patternFill>
    </x:fill>
    <x:fill>
      <x:patternFill patternType="solid">
        <x:fgColor rgb="FFE2F0E8"/>
      </x:patternFill>
    </x:fill>
    <x:fill>
      <x:patternFill patternType="solid">
        <x:fgColor rgb="FFF7E5E5"/>
      </x:patternFill>
    </x:fill>
    <x:fill>
      <x:patternFill patternType="solid">
        <x:fgColor rgb="FFF9EBD4"/>
      </x:patternFill>
    </x:fill>
    <x:fill>
      <x:patternFill patternType="solid">
        <x:fgColor rgb="FFEEE8F6"/>
      </x:patternFill>
    </x:fill>
  </x:fills>
  <x:borders count="35">
    <x:border/>
    <x:border>
      <x:left style="medium">
        <x:color rgb="FF2F6B9A"/>
      </x:left>
      <x:top style="medium">
        <x:color rgb="FF2F6B9A"/>
      </x:top>
    </x:border>
    <x:border>
      <x:right style="medium">
        <x:color rgb="FF2F6B9A"/>
      </x:right>
      <x:top style="medium">
        <x:color rgb="FF2F6B9A"/>
      </x:top>
    </x:border>
    <x:border>
      <x:left style="medium">
        <x:color rgb="FF2F6B9A"/>
      </x:left>
      <x:bottom style="medium">
        <x:color rgb="FF2F6B9A"/>
      </x:bottom>
    </x:border>
    <x:border>
      <x:right style="medium">
        <x:color rgb="FF2F6B9A"/>
      </x:right>
      <x:bottom style="medium">
        <x:color rgb="FF2F6B9A"/>
      </x:bottom>
    </x:border>
    <x:border>
      <x:left style="medium">
        <x:color rgb="FF397A5B"/>
      </x:left>
      <x:top style="medium">
        <x:color rgb="FF397A5B"/>
      </x:top>
    </x:border>
    <x:border>
      <x:right style="medium">
        <x:color rgb="FF397A5B"/>
      </x:right>
      <x:top style="medium">
        <x:color rgb="FF397A5B"/>
      </x:top>
    </x:border>
    <x:border>
      <x:left style="medium">
        <x:color rgb="FF397A5B"/>
      </x:left>
      <x:bottom style="medium">
        <x:color rgb="FF397A5B"/>
      </x:bottom>
    </x:border>
    <x:border>
      <x:right style="medium">
        <x:color rgb="FF397A5B"/>
      </x:right>
      <x:bottom style="medium">
        <x:color rgb="FF397A5B"/>
      </x:bottom>
    </x:border>
    <x:border>
      <x:left style="medium">
        <x:color rgb="FF6C5B8C"/>
      </x:left>
      <x:top style="medium">
        <x:color rgb="FF6C5B8C"/>
      </x:top>
    </x:border>
    <x:border>
      <x:right style="medium">
        <x:color rgb="FF6C5B8C"/>
      </x:right>
      <x:top style="medium">
        <x:color rgb="FF6C5B8C"/>
      </x:top>
    </x:border>
    <x:border>
      <x:left style="medium">
        <x:color rgb="FF6C5B8C"/>
      </x:left>
      <x:bottom style="medium">
        <x:color rgb="FF6C5B8C"/>
      </x:bottom>
    </x:border>
    <x:border>
      <x:right style="medium">
        <x:color rgb="FF6C5B8C"/>
      </x:right>
      <x:bottom style="medium">
        <x:color rgb="FF6C5B8C"/>
      </x:bottom>
    </x:border>
    <x:border>
      <x:left style="medium">
        <x:color rgb="FFB6862C"/>
      </x:left>
      <x:top style="medium">
        <x:color rgb="FFB6862C"/>
      </x:top>
    </x:border>
    <x:border>
      <x:right style="medium">
        <x:color rgb="FFB6862C"/>
      </x:right>
      <x:top style="medium">
        <x:color rgb="FFB6862C"/>
      </x:top>
    </x:border>
    <x:border>
      <x:left style="medium">
        <x:color rgb="FFB6862C"/>
      </x:left>
      <x:bottom style="medium">
        <x:color rgb="FFB6862C"/>
      </x:bottom>
    </x:border>
    <x:border>
      <x:right style="medium">
        <x:color rgb="FFB6862C"/>
      </x:right>
      <x:bottom style="medium">
        <x:color rgb="FFB6862C"/>
      </x:bottom>
    </x:border>
    <x:border>
      <x:left style="medium">
        <x:color rgb="FF52616B"/>
      </x:left>
      <x:top style="medium">
        <x:color rgb="FF52616B"/>
      </x:top>
    </x:border>
    <x:border>
      <x:right style="medium">
        <x:color rgb="FF52616B"/>
      </x:right>
      <x:top style="medium">
        <x:color rgb="FF52616B"/>
      </x:top>
    </x:border>
    <x:border>
      <x:left style="medium">
        <x:color rgb="FF52616B"/>
      </x:left>
      <x:bottom style="medium">
        <x:color rgb="FF52616B"/>
      </x:bottom>
    </x:border>
    <x:border>
      <x:right style="medium">
        <x:color rgb="FF52616B"/>
      </x:right>
      <x:bottom style="medium">
        <x:color rgb="FF52616B"/>
      </x:bottom>
    </x:border>
    <x:border>
      <x:left style="thin">
        <x:color rgb="FFC8D2DA"/>
      </x:left>
      <x:right style="thin">
        <x:color rgb="FFC8D2DA"/>
      </x:right>
      <x:top style="thin">
        <x:color rgb="FFC8D2DA"/>
      </x:top>
      <x:bottom style="thin">
        <x:color rgb="FFC8D2DA"/>
      </x:bottom>
    </x:border>
    <x:border>
      <x:right style="thin">
        <x:color rgb="FFC8D2DA"/>
      </x:right>
      <x:bottom style="thin">
        <x:color rgb="FFC8D2DA"/>
      </x:bottom>
    </x:border>
    <x:border>
      <x:left style="thin">
        <x:color rgb="FFC8D2DA"/>
      </x:left>
      <x:right style="thin">
        <x:color rgb="FFC8D2DA"/>
      </x:right>
      <x:bottom style="thin">
        <x:color rgb="FFC8D2DA"/>
      </x:bottom>
    </x:border>
    <x:border>
      <x:left style="thin">
        <x:color rgb="FFC8D2DA"/>
      </x:left>
      <x:bottom style="thin">
        <x:color rgb="FFC8D2DA"/>
      </x:bottom>
    </x:border>
    <x:border>
      <x:right style="thin">
        <x:color rgb="FFC8D2DA"/>
      </x:right>
      <x:top style="thin">
        <x:color rgb="FFC8D2DA"/>
      </x:top>
      <x:bottom style="thin">
        <x:color rgb="FFC8D2DA"/>
      </x:bottom>
    </x:border>
    <x:border>
      <x:left style="thin">
        <x:color rgb="FFC8D2DA"/>
      </x:left>
      <x:top style="thin">
        <x:color rgb="FFC8D2DA"/>
      </x:top>
      <x:bottom style="thin">
        <x:color rgb="FFC8D2DA"/>
      </x:bottom>
    </x:border>
    <x:border>
      <x:right style="thin">
        <x:color rgb="FFC8D2DA"/>
      </x:right>
      <x:top style="thin">
        <x:color rgb="FFC8D2DA"/>
      </x:top>
    </x:border>
    <x:border>
      <x:left style="thin">
        <x:color rgb="FFC8D2DA"/>
      </x:left>
      <x:right style="thin">
        <x:color rgb="FFC8D2DA"/>
      </x:right>
      <x:top style="thin">
        <x:color rgb="FFC8D2DA"/>
      </x:top>
    </x:border>
    <x:border>
      <x:left style="thin">
        <x:color rgb="FFC8D2DA"/>
      </x:left>
      <x:top style="thin">
        <x:color rgb="FFC8D2DA"/>
      </x:top>
    </x:border>
    <x:border>
      <x:top style="thin">
        <x:color rgb="FFC8D2DA"/>
      </x:top>
      <x:bottom style="thin">
        <x:color rgb="FFC8D2DA"/>
      </x:bottom>
    </x:border>
    <x:border>
      <x:top style="medium">
        <x:color rgb="FF52616B"/>
      </x:top>
    </x:border>
    <x:border>
      <x:left style="medium">
        <x:color rgb="FF52616B"/>
      </x:left>
    </x:border>
    <x:border>
      <x:right style="medium">
        <x:color rgb="FF52616B"/>
      </x:right>
    </x:border>
    <x:border>
      <x:bottom style="medium">
        <x:color rgb="FF52616B"/>
      </x:bottom>
    </x:border>
  </x:borders>
  <x:cellStyleXfs count="1">
    <x:xf numFmtId="0" fontId="0" fillId="0" borderId="0"/>
  </x:cellStyleXfs>
  <x:cellXfs count="2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200" fontId="5" fillId="5" borderId="5" xfId="0" applyNumberFormat="1" applyFont="1" applyFill="1" applyBorder="1"/>
    <x:xf numFmtId="200" fontId="5" fillId="5" borderId="6" xfId="0" applyNumberFormat="1" applyFont="1" applyFill="1" applyBorder="1"/>
    <x:xf numFmtId="200" fontId="5" fillId="5" borderId="7" xfId="0" applyNumberFormat="1" applyFont="1" applyFill="1" applyBorder="1"/>
    <x:xf numFmtId="200" fontId="5" fillId="5" borderId="8" xfId="0" applyNumberFormat="1" applyFont="1" applyFill="1" applyBorder="1"/>
    <x:xf numFmtId="200" fontId="5" fillId="5" borderId="5" xfId="0" applyNumberFormat="1" applyFont="1" applyFill="1" applyBorder="1" applyAlignment="1">
      <x:alignment horizontal="center"/>
    </x:xf>
    <x:xf numFmtId="200" fontId="5" fillId="5" borderId="6" xfId="0" applyNumberFormat="1" applyFont="1" applyFill="1" applyBorder="1" applyAlignment="1">
      <x:alignment horizontal="center"/>
    </x:xf>
    <x:xf numFmtId="200" fontId="5" fillId="5" borderId="7" xfId="0" applyNumberFormat="1" applyFont="1" applyFill="1" applyBorder="1" applyAlignment="1">
      <x:alignment horizontal="center"/>
    </x:xf>
    <x:xf numFmtId="200" fontId="5" fillId="5" borderId="8" xfId="0" applyNumberFormat="1" applyFont="1" applyFill="1" applyBorder="1" applyAlignment="1">
      <x:alignment horizontal="center"/>
    </x:xf>
    <x:xf numFmtId="200" fontId="5" fillId="5" borderId="5" xfId="0" applyNumberFormat="1" applyFont="1" applyFill="1" applyBorder="1" applyAlignment="1">
      <x:alignment horizontal="center" vertical="center"/>
    </x:xf>
    <x:xf numFmtId="200" fontId="5" fillId="5" borderId="6" xfId="0" applyNumberFormat="1" applyFont="1" applyFill="1" applyBorder="1" applyAlignment="1">
      <x:alignment horizontal="center" vertical="center"/>
    </x:xf>
    <x:xf numFmtId="200" fontId="5" fillId="5" borderId="7" xfId="0" applyNumberFormat="1" applyFont="1" applyFill="1" applyBorder="1" applyAlignment="1">
      <x:alignment horizontal="center" vertical="center"/>
    </x:xf>
    <x:xf numFmtId="200" fontId="5" fillId="5" borderId="8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200" fontId="6" fillId="5" borderId="9" xfId="0" applyNumberFormat="1" applyFont="1" applyFill="1" applyBorder="1"/>
    <x:xf numFmtId="200" fontId="6" fillId="5" borderId="10" xfId="0" applyNumberFormat="1" applyFont="1" applyFill="1" applyBorder="1"/>
    <x:xf numFmtId="200" fontId="6" fillId="5" borderId="11" xfId="0" applyNumberFormat="1" applyFont="1" applyFill="1" applyBorder="1"/>
    <x:xf numFmtId="200" fontId="6" fillId="5" borderId="12" xfId="0" applyNumberFormat="1" applyFont="1" applyFill="1" applyBorder="1"/>
    <x:xf numFmtId="200" fontId="6" fillId="5" borderId="9" xfId="0" applyNumberFormat="1" applyFont="1" applyFill="1" applyBorder="1" applyAlignment="1">
      <x:alignment horizontal="center"/>
    </x:xf>
    <x:xf numFmtId="200" fontId="6" fillId="5" borderId="10" xfId="0" applyNumberFormat="1" applyFont="1" applyFill="1" applyBorder="1" applyAlignment="1">
      <x:alignment horizontal="center"/>
    </x:xf>
    <x:xf numFmtId="200" fontId="6" fillId="5" borderId="11" xfId="0" applyNumberFormat="1" applyFont="1" applyFill="1" applyBorder="1" applyAlignment="1">
      <x:alignment horizontal="center"/>
    </x:xf>
    <x:xf numFmtId="200" fontId="6" fillId="5" borderId="12" xfId="0" applyNumberFormat="1" applyFont="1" applyFill="1" applyBorder="1" applyAlignment="1">
      <x:alignment horizontal="center"/>
    </x:xf>
    <x:xf numFmtId="200" fontId="6" fillId="5" borderId="9" xfId="0" applyNumberFormat="1" applyFont="1" applyFill="1" applyBorder="1" applyAlignment="1">
      <x:alignment horizontal="center" vertical="center"/>
    </x:xf>
    <x:xf numFmtId="200" fontId="6" fillId="5" borderId="10" xfId="0" applyNumberFormat="1" applyFont="1" applyFill="1" applyBorder="1" applyAlignment="1">
      <x:alignment horizontal="center" vertical="center"/>
    </x:xf>
    <x:xf numFmtId="200" fontId="6" fillId="5" borderId="11" xfId="0" applyNumberFormat="1" applyFont="1" applyFill="1" applyBorder="1" applyAlignment="1">
      <x:alignment horizontal="center" vertical="center"/>
    </x:xf>
    <x:xf numFmtId="200" fontId="6" fillId="5" borderId="1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7" fillId="5" borderId="15" xfId="0" applyNumberFormat="1" applyFont="1" applyFill="1" applyBorder="1"/>
    <x:xf numFmtId="0" fontId="7" fillId="5" borderId="16" xfId="0" applyNumberFormat="1" applyFont="1" applyFill="1" applyBorder="1"/>
    <x:xf numFmtId="200" fontId="7" fillId="5" borderId="13" xfId="0" applyNumberFormat="1" applyFont="1" applyFill="1" applyBorder="1"/>
    <x:xf numFmtId="200" fontId="7" fillId="5" borderId="14" xfId="0" applyNumberFormat="1" applyFont="1" applyFill="1" applyBorder="1"/>
    <x:xf numFmtId="200" fontId="7" fillId="5" borderId="15" xfId="0" applyNumberFormat="1" applyFont="1" applyFill="1" applyBorder="1"/>
    <x:xf numFmtId="200" fontId="7" fillId="5" borderId="16" xfId="0" applyNumberFormat="1" applyFont="1" applyFill="1" applyBorder="1"/>
    <x:xf numFmtId="200" fontId="7" fillId="5" borderId="13" xfId="0" applyNumberFormat="1" applyFont="1" applyFill="1" applyBorder="1" applyAlignment="1">
      <x:alignment horizontal="center"/>
    </x:xf>
    <x:xf numFmtId="200" fontId="7" fillId="5" borderId="14" xfId="0" applyNumberFormat="1" applyFont="1" applyFill="1" applyBorder="1" applyAlignment="1">
      <x:alignment horizontal="center"/>
    </x:xf>
    <x:xf numFmtId="200" fontId="7" fillId="5" borderId="15" xfId="0" applyNumberFormat="1" applyFont="1" applyFill="1" applyBorder="1" applyAlignment="1">
      <x:alignment horizontal="center"/>
    </x:xf>
    <x:xf numFmtId="200" fontId="7" fillId="5" borderId="16" xfId="0" applyNumberFormat="1" applyFont="1" applyFill="1" applyBorder="1" applyAlignment="1">
      <x:alignment horizontal="center"/>
    </x:xf>
    <x:xf numFmtId="200" fontId="7" fillId="5" borderId="13" xfId="0" applyNumberFormat="1" applyFont="1" applyFill="1" applyBorder="1" applyAlignment="1">
      <x:alignment horizontal="center" vertical="center"/>
    </x:xf>
    <x:xf numFmtId="200" fontId="7" fillId="5" borderId="14" xfId="0" applyNumberFormat="1" applyFont="1" applyFill="1" applyBorder="1" applyAlignment="1">
      <x:alignment horizontal="center" vertical="center"/>
    </x:xf>
    <x:xf numFmtId="200" fontId="7" fillId="5" borderId="15" xfId="0" applyNumberFormat="1" applyFont="1" applyFill="1" applyBorder="1" applyAlignment="1">
      <x:alignment horizontal="center" vertical="center"/>
    </x:xf>
    <x:xf numFmtId="200" fontId="7" fillId="5" borderId="16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17" xfId="0" applyNumberFormat="1" applyFont="1" applyFill="1" applyBorder="1"/>
    <x:xf numFmtId="0" fontId="8" fillId="5" borderId="18" xfId="0" applyNumberFormat="1" applyFont="1" applyFill="1" applyBorder="1"/>
    <x:xf numFmtId="0" fontId="8" fillId="5" borderId="19" xfId="0" applyNumberFormat="1" applyFont="1" applyFill="1" applyBorder="1"/>
    <x:xf numFmtId="0" fontId="8" fillId="5" borderId="20" xfId="0" applyNumberFormat="1" applyFont="1" applyFill="1" applyBorder="1"/>
    <x:xf numFmtId="200" fontId="8" fillId="5" borderId="17" xfId="0" applyNumberFormat="1" applyFont="1" applyFill="1" applyBorder="1"/>
    <x:xf numFmtId="200" fontId="8" fillId="5" borderId="18" xfId="0" applyNumberFormat="1" applyFont="1" applyFill="1" applyBorder="1"/>
    <x:xf numFmtId="200" fontId="8" fillId="5" borderId="19" xfId="0" applyNumberFormat="1" applyFont="1" applyFill="1" applyBorder="1"/>
    <x:xf numFmtId="200" fontId="8" fillId="5" borderId="20" xfId="0" applyNumberFormat="1" applyFont="1" applyFill="1" applyBorder="1"/>
    <x:xf numFmtId="200" fontId="8" fillId="5" borderId="17" xfId="0" applyNumberFormat="1" applyFont="1" applyFill="1" applyBorder="1" applyAlignment="1">
      <x:alignment horizontal="center"/>
    </x:xf>
    <x:xf numFmtId="200" fontId="8" fillId="5" borderId="18" xfId="0" applyNumberFormat="1" applyFont="1" applyFill="1" applyBorder="1" applyAlignment="1">
      <x:alignment horizontal="center"/>
    </x:xf>
    <x:xf numFmtId="200" fontId="8" fillId="5" borderId="19" xfId="0" applyNumberFormat="1" applyFont="1" applyFill="1" applyBorder="1" applyAlignment="1">
      <x:alignment horizontal="center"/>
    </x:xf>
    <x:xf numFmtId="200" fontId="8" fillId="5" borderId="20" xfId="0" applyNumberFormat="1" applyFont="1" applyFill="1" applyBorder="1" applyAlignment="1">
      <x:alignment horizontal="center"/>
    </x:xf>
    <x:xf numFmtId="200" fontId="8" fillId="5" borderId="17" xfId="0" applyNumberFormat="1" applyFont="1" applyFill="1" applyBorder="1" applyAlignment="1">
      <x:alignment horizontal="center" vertical="center"/>
    </x:xf>
    <x:xf numFmtId="200" fontId="8" fillId="5" borderId="18" xfId="0" applyNumberFormat="1" applyFont="1" applyFill="1" applyBorder="1" applyAlignment="1">
      <x:alignment horizontal="center" vertical="center"/>
    </x:xf>
    <x:xf numFmtId="200" fontId="8" fillId="5" borderId="19" xfId="0" applyNumberFormat="1" applyFont="1" applyFill="1" applyBorder="1" applyAlignment="1">
      <x:alignment horizontal="center" vertical="center"/>
    </x:xf>
    <x:xf numFmtId="200" fontId="8" fillId="5" borderId="2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/>
    <x:xf numFmtId="0" fontId="10" fillId="9" borderId="21" xfId="0" applyNumberFormat="1" applyFont="1" applyFill="1" applyBorder="1"/>
    <x:xf numFmtId="0" fontId="10" fillId="9" borderId="21" xfId="0" applyNumberFormat="1" applyFont="1" applyFill="1" applyBorder="1" applyAlignment="1">
      <x:alignment wrapText="1"/>
    </x:xf>
    <x:xf numFmtId="0" fontId="10" fillId="9" borderId="21" xfId="0" applyNumberFormat="1" applyFont="1" applyFill="1" applyBorder="1" applyAlignment="1">
      <x:alignment horizontal="center" wrapText="1"/>
    </x:xf>
    <x:xf numFmtId="0" fontId="10" fillId="9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1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200" fontId="0" fillId="0" borderId="23" xfId="0" applyNumberFormat="1" applyFont="1" applyFill="1" applyBorder="1" applyAlignment="1">
      <x:alignment vertical="center" wrapText="1"/>
    </x:xf>
    <x:xf numFmtId="200" fontId="0" fillId="0" borderId="21" xfId="0" applyNumberFormat="1" applyFont="1" applyFill="1" applyBorder="1" applyAlignment="1">
      <x:alignment vertical="center" wrapText="1"/>
    </x:xf>
    <x:xf numFmtId="200" fontId="0" fillId="0" borderId="28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/>
    <x:xf numFmtId="0" fontId="10" fillId="4" borderId="21" xfId="0" applyNumberFormat="1" applyFont="1" applyFill="1" applyBorder="1"/>
    <x:xf numFmtId="0" fontId="10" fillId="4" borderId="21" xfId="0" applyNumberFormat="1" applyFont="1" applyFill="1" applyBorder="1" applyAlignment="1">
      <x:alignment wrapText="1"/>
    </x:xf>
    <x:xf numFmtId="0" fontId="10" fillId="4" borderId="21" xfId="0" applyNumberFormat="1" applyFont="1" applyFill="1" applyBorder="1" applyAlignment="1">
      <x:alignment horizontal="center" wrapText="1"/>
    </x:xf>
    <x:xf numFmtId="0" fontId="10" fillId="4" borderId="21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26" xfId="0" applyNumberFormat="1" applyFont="1" applyFill="1" applyBorder="1"/>
    <x:xf numFmtId="0" fontId="11" fillId="10" borderId="30" xfId="0" applyNumberFormat="1" applyFont="1" applyFill="1" applyBorder="1"/>
    <x:xf numFmtId="0" fontId="11" fillId="10" borderId="25" xfId="0" applyNumberFormat="1" applyFont="1" applyFill="1" applyBorder="1"/>
    <x:xf numFmtId="0" fontId="11" fillId="10" borderId="26" xfId="0" applyNumberFormat="1" applyFont="1" applyFill="1" applyBorder="1" applyAlignment="1">
      <x:alignment wrapText="1"/>
    </x:xf>
    <x:xf numFmtId="0" fontId="11" fillId="10" borderId="30" xfId="0" applyNumberFormat="1" applyFont="1" applyFill="1" applyBorder="1" applyAlignment="1">
      <x:alignment wrapText="1"/>
    </x:xf>
    <x:xf numFmtId="0" fontId="11" fillId="10" borderId="25" xfId="0" applyNumberFormat="1" applyFont="1" applyFill="1" applyBorder="1" applyAlignment="1">
      <x:alignment wrapText="1"/>
    </x:xf>
    <x:xf numFmtId="0" fontId="11" fillId="10" borderId="26" xfId="0" applyNumberFormat="1" applyFont="1" applyFill="1" applyBorder="1" applyAlignment="1">
      <x:alignment vertical="center" wrapText="1"/>
    </x:xf>
    <x:xf numFmtId="0" fontId="11" fillId="10" borderId="30" xfId="0" applyNumberFormat="1" applyFont="1" applyFill="1" applyBorder="1" applyAlignment="1">
      <x:alignment vertical="center" wrapText="1"/>
    </x:xf>
    <x:xf numFmtId="0" fontId="11" fillId="10" borderId="25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/>
    <x:xf numFmtId="0" fontId="11" fillId="5" borderId="26" xfId="0" applyNumberFormat="1" applyFont="1" applyFill="1" applyBorder="1"/>
    <x:xf numFmtId="0" fontId="11" fillId="5" borderId="30" xfId="0" applyNumberFormat="1" applyFont="1" applyFill="1" applyBorder="1"/>
    <x:xf numFmtId="0" fontId="11" fillId="5" borderId="25" xfId="0" applyNumberFormat="1" applyFont="1" applyFill="1" applyBorder="1"/>
    <x:xf numFmtId="0" fontId="11" fillId="5" borderId="26" xfId="0" applyNumberFormat="1" applyFont="1" applyFill="1" applyBorder="1" applyAlignment="1">
      <x:alignment wrapText="1"/>
    </x:xf>
    <x:xf numFmtId="0" fontId="11" fillId="5" borderId="30" xfId="0" applyNumberFormat="1" applyFont="1" applyFill="1" applyBorder="1" applyAlignment="1">
      <x:alignment wrapText="1"/>
    </x:xf>
    <x:xf numFmtId="0" fontId="11" fillId="5" borderId="25" xfId="0" applyNumberFormat="1" applyFont="1" applyFill="1" applyBorder="1" applyAlignment="1">
      <x:alignment wrapText="1"/>
    </x:xf>
    <x:xf numFmtId="0" fontId="11" fillId="5" borderId="26" xfId="0" applyNumberFormat="1" applyFont="1" applyFill="1" applyBorder="1" applyAlignment="1">
      <x:alignment vertical="center" wrapText="1"/>
    </x:xf>
    <x:xf numFmtId="0" fontId="11" fillId="5" borderId="30" xfId="0" applyNumberFormat="1" applyFont="1" applyFill="1" applyBorder="1" applyAlignment="1">
      <x:alignment vertical="center" wrapText="1"/>
    </x:xf>
    <x:xf numFmtId="0" fontId="11" fillId="5" borderId="25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/>
    <x:xf numFmtId="0" fontId="10" fillId="6" borderId="21" xfId="0" applyNumberFormat="1" applyFont="1" applyFill="1" applyBorder="1"/>
    <x:xf numFmtId="0" fontId="10" fillId="6" borderId="21" xfId="0" applyNumberFormat="1" applyFont="1" applyFill="1" applyBorder="1" applyAlignment="1">
      <x:alignment wrapText="1"/>
    </x:xf>
    <x:xf numFmtId="0" fontId="10" fillId="6" borderId="21" xfId="0" applyNumberFormat="1" applyFont="1" applyFill="1" applyBorder="1" applyAlignment="1">
      <x:alignment horizontal="center" wrapText="1"/>
    </x:xf>
    <x:xf numFmtId="0" fontId="10" fillId="6" borderId="2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22" xfId="0" applyNumberFormat="1" applyFont="1" applyFill="1" applyBorder="1"/>
    <x:xf numFmtId="200" fontId="0" fillId="0" borderId="23" xfId="0" applyNumberFormat="1" applyFont="1" applyFill="1" applyBorder="1"/>
    <x:xf numFmtId="200" fontId="0" fillId="0" borderId="22" xfId="0" applyNumberFormat="1" applyFont="1" applyFill="1" applyBorder="1" applyAlignment="1">
      <x:alignment wrapText="1"/>
    </x:xf>
    <x:xf numFmtId="200" fontId="0" fillId="0" borderId="23" xfId="0" applyNumberFormat="1" applyFont="1" applyFill="1" applyBorder="1" applyAlignment="1">
      <x:alignment wrapText="1"/>
    </x:xf>
    <x:xf numFmtId="200" fontId="0" fillId="0" borderId="22" xfId="0" applyNumberFormat="1" applyFont="1" applyFill="1" applyBorder="1" applyAlignment="1">
      <x:alignment horizontal="center" wrapText="1"/>
    </x:xf>
    <x:xf numFmtId="200" fontId="0" fillId="0" borderId="23" xfId="0" applyNumberFormat="1" applyFont="1" applyFill="1" applyBorder="1" applyAlignment="1">
      <x:alignment horizontal="center" wrapText="1"/>
    </x:xf>
    <x:xf numFmtId="0" fontId="0" fillId="0" borderId="23" xfId="0" applyNumberFormat="1" applyFont="1" applyFill="1" applyBorder="1" applyAlignment="1">
      <x:alignment horizontal="center" wrapText="1"/>
    </x:xf>
    <x:xf numFmtId="0" fontId="0" fillId="0" borderId="24" xfId="0" applyNumberFormat="1" applyFont="1" applyFill="1" applyBorder="1" applyAlignment="1">
      <x:alignment horizontal="center" wrapText="1"/>
    </x:xf>
    <x:xf numFmtId="0" fontId="0" fillId="0" borderId="27" xfId="0" applyNumberFormat="1" applyFont="1" applyFill="1" applyBorder="1" applyAlignment="1">
      <x:alignment horizontal="center" wrapText="1"/>
    </x:xf>
    <x:xf numFmtId="0" fontId="0" fillId="0" borderId="28" xfId="0" applyNumberFormat="1" applyFont="1" applyFill="1" applyBorder="1" applyAlignment="1">
      <x:alignment horizontal="center" wrapText="1"/>
    </x:xf>
    <x:xf numFmtId="0" fontId="0" fillId="0" borderId="29" xfId="0" applyNumberFormat="1" applyFont="1" applyFill="1" applyBorder="1" applyAlignment="1">
      <x:alignment horizontal="center" wrapText="1"/>
    </x:xf>
    <x:xf numFmtId="200" fontId="0" fillId="0" borderId="22" xfId="0" applyNumberFormat="1" applyFont="1" applyFill="1" applyBorder="1" applyAlignment="1">
      <x:alignment horizontal="center" vertical="center" wrapText="1"/>
    </x:xf>
    <x:xf numFmtId="200" fontId="0" fillId="0" borderId="23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 applyAlignment="1">
      <x:alignment horizontal="center" vertical="center" wrapText="1"/>
    </x:xf>
    <x:xf numFmtId="0" fontId="0" fillId="0" borderId="27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12" fillId="0" borderId="27" xfId="0" applyNumberFormat="1" applyFont="1" applyFill="1" applyBorder="1" applyAlignment="1">
      <x:alignment horizontal="center" vertical="center" wrapText="1"/>
    </x:xf>
    <x:xf numFmtId="0" fontId="12" fillId="0" borderId="28" xfId="0" applyNumberFormat="1" applyFont="1" applyFill="1" applyBorder="1" applyAlignment="1">
      <x:alignment horizontal="center" vertical="center" wrapText="1"/>
    </x:xf>
    <x:xf numFmtId="0" fontId="12" fillId="0" borderId="29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17" xfId="0" applyNumberFormat="1" applyFont="1" applyFill="1" applyBorder="1"/>
    <x:xf numFmtId="0" fontId="11" fillId="11" borderId="31" xfId="0" applyNumberFormat="1" applyFont="1" applyFill="1" applyBorder="1"/>
    <x:xf numFmtId="0" fontId="11" fillId="11" borderId="18" xfId="0" applyNumberFormat="1" applyFont="1" applyFill="1" applyBorder="1"/>
    <x:xf numFmtId="0" fontId="11" fillId="11" borderId="32" xfId="0" applyNumberFormat="1" applyFont="1" applyFill="1" applyBorder="1"/>
    <x:xf numFmtId="0" fontId="11" fillId="11" borderId="33" xfId="0" applyNumberFormat="1" applyFont="1" applyFill="1" applyBorder="1"/>
    <x:xf numFmtId="0" fontId="11" fillId="11" borderId="19" xfId="0" applyNumberFormat="1" applyFont="1" applyFill="1" applyBorder="1"/>
    <x:xf numFmtId="0" fontId="11" fillId="11" borderId="34" xfId="0" applyNumberFormat="1" applyFont="1" applyFill="1" applyBorder="1"/>
    <x:xf numFmtId="0" fontId="11" fillId="11" borderId="20" xfId="0" applyNumberFormat="1" applyFont="1" applyFill="1" applyBorder="1"/>
    <x:xf numFmtId="0" fontId="11" fillId="11" borderId="17" xfId="0" applyNumberFormat="1" applyFont="1" applyFill="1" applyBorder="1" applyAlignment="1">
      <x:alignment wrapText="1"/>
    </x:xf>
    <x:xf numFmtId="0" fontId="11" fillId="11" borderId="31" xfId="0" applyNumberFormat="1" applyFont="1" applyFill="1" applyBorder="1" applyAlignment="1">
      <x:alignment wrapText="1"/>
    </x:xf>
    <x:xf numFmtId="0" fontId="11" fillId="11" borderId="18" xfId="0" applyNumberFormat="1" applyFont="1" applyFill="1" applyBorder="1" applyAlignment="1">
      <x:alignment wrapText="1"/>
    </x:xf>
    <x:xf numFmtId="0" fontId="11" fillId="11" borderId="32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wrapText="1"/>
    </x:xf>
    <x:xf numFmtId="0" fontId="11" fillId="11" borderId="33" xfId="0" applyNumberFormat="1" applyFont="1" applyFill="1" applyBorder="1" applyAlignment="1">
      <x:alignment wrapText="1"/>
    </x:xf>
    <x:xf numFmtId="0" fontId="11" fillId="11" borderId="19" xfId="0" applyNumberFormat="1" applyFont="1" applyFill="1" applyBorder="1" applyAlignment="1">
      <x:alignment wrapText="1"/>
    </x:xf>
    <x:xf numFmtId="0" fontId="11" fillId="11" borderId="34" xfId="0" applyNumberFormat="1" applyFont="1" applyFill="1" applyBorder="1" applyAlignment="1">
      <x:alignment wrapText="1"/>
    </x:xf>
    <x:xf numFmtId="0" fontId="11" fillId="11" borderId="20" xfId="0" applyNumberFormat="1" applyFont="1" applyFill="1" applyBorder="1" applyAlignment="1">
      <x:alignment wrapText="1"/>
    </x:xf>
    <x:xf numFmtId="0" fontId="11" fillId="11" borderId="17" xfId="0" applyNumberFormat="1" applyFont="1" applyFill="1" applyBorder="1" applyAlignment="1">
      <x:alignment vertical="center" wrapText="1"/>
    </x:xf>
    <x:xf numFmtId="0" fontId="11" fillId="11" borderId="31" xfId="0" applyNumberFormat="1" applyFont="1" applyFill="1" applyBorder="1" applyAlignment="1">
      <x:alignment vertical="center" wrapText="1"/>
    </x:xf>
    <x:xf numFmtId="0" fontId="11" fillId="11" borderId="18" xfId="0" applyNumberFormat="1" applyFont="1" applyFill="1" applyBorder="1" applyAlignment="1">
      <x:alignment vertical="center" wrapText="1"/>
    </x:xf>
    <x:xf numFmtId="0" fontId="11" fillId="11" borderId="32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1" fillId="11" borderId="33" xfId="0" applyNumberFormat="1" applyFont="1" applyFill="1" applyBorder="1" applyAlignment="1">
      <x:alignment vertical="center" wrapText="1"/>
    </x:xf>
    <x:xf numFmtId="0" fontId="11" fillId="11" borderId="19" xfId="0" applyNumberFormat="1" applyFont="1" applyFill="1" applyBorder="1" applyAlignment="1">
      <x:alignment vertical="center" wrapText="1"/>
    </x:xf>
    <x:xf numFmtId="0" fontId="11" fillId="11" borderId="34" xfId="0" applyNumberFormat="1" applyFont="1" applyFill="1" applyBorder="1" applyAlignment="1">
      <x:alignment vertical="center" wrapText="1"/>
    </x:xf>
    <x:xf numFmtId="0" fontId="11" fillId="11" borderId="2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/>
    <x:xf numFmtId="0" fontId="10" fillId="7" borderId="21" xfId="0" applyNumberFormat="1" applyFont="1" applyFill="1" applyBorder="1"/>
    <x:xf numFmtId="0" fontId="10" fillId="7" borderId="21" xfId="0" applyNumberFormat="1" applyFont="1" applyFill="1" applyBorder="1" applyAlignment="1">
      <x:alignment wrapText="1"/>
    </x:xf>
    <x:xf numFmtId="0" fontId="10" fillId="7" borderId="21" xfId="0" applyNumberFormat="1" applyFont="1" applyFill="1" applyBorder="1" applyAlignment="1">
      <x:alignment horizontal="center" wrapText="1"/>
    </x:xf>
    <x:xf numFmtId="0" fontId="10" fillId="7" borderId="21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/>
    <x:xf numFmtId="0" fontId="10" fillId="8" borderId="21" xfId="0" applyNumberFormat="1" applyFont="1" applyFill="1" applyBorder="1"/>
    <x:xf numFmtId="0" fontId="10" fillId="8" borderId="21" xfId="0" applyNumberFormat="1" applyFont="1" applyFill="1" applyBorder="1" applyAlignment="1">
      <x:alignment wrapText="1"/>
    </x:xf>
    <x:xf numFmtId="0" fontId="10" fillId="8" borderId="21" xfId="0" applyNumberFormat="1" applyFont="1" applyFill="1" applyBorder="1" applyAlignment="1">
      <x:alignment horizontal="center" wrapText="1"/>
    </x:xf>
    <x:xf numFmtId="0" fontId="10" fillId="8" borderId="21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top" wrapText="1"/>
    </x:xf>
    <x:xf numFmtId="200" fontId="14" fillId="0" borderId="0" xfId="0" applyNumberFormat="1" applyFont="1" applyFill="1" applyBorder="1" applyAlignment="1">
      <x:alignment vertical="top" wrapText="1"/>
    </x:xf>
    <x:xf numFmtId="200" fontId="14" fillId="0" borderId="0" xfId="0" applyNumberFormat="1" applyFont="1" applyFill="1" applyBorder="1" applyAlignment="1">
      <x:alignment horizontal="right" vertical="top" wrapText="1"/>
    </x:xf>
    <x:xf numFmtId="200" fontId="14" fillId="0" borderId="0" xfId="0" applyNumberFormat="1" applyFont="1" applyFill="1" applyBorder="1" applyAlignment="1">
      <x:alignment horizontal="right" vertical="center" wrapText="1"/>
    </x:xf>
    <x:xf numFmtId="0" fontId="14" fillId="11" borderId="0" xfId="0" applyNumberFormat="1" applyFont="1" applyFill="1" applyBorder="1" applyAlignment="1">
      <x:alignment vertical="top" wrapText="1"/>
    </x:xf>
    <x:xf numFmtId="0" fontId="15" fillId="11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top" wrapText="1"/>
    </x:xf>
    <x:xf numFmtId="0" fontId="14" fillId="12" borderId="0" xfId="0" applyNumberFormat="1" applyFont="1" applyFill="1" applyBorder="1" applyAlignment="1">
      <x:alignment vertical="top" wrapText="1"/>
    </x:xf>
    <x:xf numFmtId="0" fontId="15" fillId="12" borderId="0" xfId="0" applyNumberFormat="1" applyFont="1" applyFill="1" applyBorder="1" applyAlignment="1">
      <x:alignment vertical="top" wrapText="1"/>
    </x:xf>
    <x:xf numFmtId="0" fontId="14" fillId="13" borderId="0" xfId="0" applyNumberFormat="1" applyFont="1" applyFill="1" applyBorder="1" applyAlignment="1">
      <x:alignment vertical="top" wrapText="1"/>
    </x:xf>
    <x:xf numFmtId="0" fontId="15" fillId="13" borderId="0" xfId="0" applyNumberFormat="1" applyFont="1" applyFill="1" applyBorder="1" applyAlignment="1">
      <x:alignment vertical="top" wrapText="1"/>
    </x:xf>
    <x:xf numFmtId="0" fontId="14" fillId="14" borderId="0" xfId="0" applyNumberFormat="1" applyFont="1" applyFill="1" applyBorder="1" applyAlignment="1">
      <x:alignment vertical="top" wrapText="1"/>
    </x:xf>
    <x:xf numFmtId="0" fontId="15" fillId="14" borderId="0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14" fillId="15" borderId="0" xfId="0" applyNumberFormat="1" applyFont="1" applyFill="1" applyBorder="1" applyAlignment="1">
      <x:alignment vertical="top" wrapText="1"/>
    </x:xf>
    <x:xf numFmtId="0" fontId="15" fillId="15" borderId="0" xfId="0" applyNumberFormat="1" applyFont="1" applyFill="1" applyBorder="1" applyAlignment="1">
      <x:alignment vertical="top" wrapText="1"/>
    </x:xf>
    <x:xf numFmtId="0" fontId="14" fillId="16" borderId="0" xfId="0" applyNumberFormat="1" applyFont="1" applyFill="1" applyBorder="1" applyAlignment="1">
      <x:alignment vertical="top" wrapText="1"/>
    </x:xf>
    <x:xf numFmtId="0" fontId="15" fillId="16" borderId="0" xfId="0" applyNumberFormat="1" applyFont="1" applyFill="1" applyBorder="1" applyAlignment="1">
      <x:alignment vertical="top" wrapText="1"/>
    </x:xf>
    <x:xf numFmtId="200" fontId="14" fillId="15" borderId="0" xfId="0" applyNumberFormat="1" applyFont="1" applyFill="1" applyBorder="1" applyAlignment="1">
      <x:alignment horizontal="right"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200" fontId="14" fillId="0" borderId="0" xfId="0" applyNumberFormat="1" applyFont="1" applyFill="1" applyBorder="1" applyAlignment="1">
      <x:alignment vertical="center" wrapText="1"/>
    </x:xf>
    <x:xf numFmtId="201" fontId="14" fillId="0" borderId="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 applyAlignment="1">
      <x:alignment vertical="center" wrapText="1"/>
    </x:xf>
    <x:xf numFmtId="0" fontId="15" fillId="12" borderId="0" xfId="0" applyNumberFormat="1" applyFont="1" applyFill="1" applyBorder="1" applyAlignment="1">
      <x:alignment vertical="center" wrapText="1"/>
    </x:xf>
    <x:xf numFmtId="0" fontId="14" fillId="13" borderId="0" xfId="0" applyNumberFormat="1" applyFont="1" applyFill="1" applyBorder="1" applyAlignment="1">
      <x:alignment vertical="center" wrapText="1"/>
    </x:xf>
    <x:xf numFmtId="0" fontId="15" fillId="13" borderId="0" xfId="0" applyNumberFormat="1" applyFont="1" applyFill="1" applyBorder="1" applyAlignment="1">
      <x:alignment vertical="center" wrapText="1"/>
    </x:xf>
    <x:xf numFmtId="0" fontId="14" fillId="16" borderId="0" xfId="0" applyNumberFormat="1" applyFont="1" applyFill="1" applyBorder="1" applyAlignment="1">
      <x:alignment vertical="center" wrapText="1"/>
    </x:xf>
    <x:xf numFmtId="0" fontId="15" fillId="16" borderId="0" xfId="0" applyNumberFormat="1" applyFont="1" applyFill="1" applyBorder="1" applyAlignment="1">
      <x:alignment vertical="center" wrapText="1"/>
    </x:xf>
    <x:xf numFmtId="0" fontId="15" fillId="13" borderId="0" xfId="0" applyNumberFormat="1" applyFont="1" applyFill="1" applyBorder="1" applyAlignment="1">
      <x:alignment horizontal="center" vertical="top" wrapText="1"/>
    </x:xf>
    <x:xf numFmtId="0" fontId="15" fillId="16" borderId="0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21" xfId="0" applyNumberFormat="1" applyFont="1" applyFill="1" applyBorder="1"/>
    <x:xf numFmtId="0" fontId="10" fillId="3" borderId="21" xfId="0" applyNumberFormat="1" applyFont="1" applyFill="1" applyBorder="1" applyAlignment="1">
      <x:alignment wrapText="1"/>
    </x:xf>
    <x:xf numFmtId="0" fontId="10" fillId="3" borderId="21" xfId="0" applyNumberFormat="1" applyFont="1" applyFill="1" applyBorder="1" applyAlignment="1">
      <x:alignment horizontal="center" wrapText="1"/>
    </x:xf>
    <x:xf numFmtId="0" fontId="10" fillId="3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/>
    </x:xf>
    <x:xf numFmtId="0" fontId="0" fillId="0" borderId="27" xfId="0" applyNumberFormat="1" applyFont="1" applyFill="1" applyBorder="1" applyAlignment="1">
      <x:alignment vertical="center"/>
    </x:xf>
    <x:xf numFmtId="0" fontId="0" fillId="0" borderId="28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9244dc5b304134" /><Relationship Type="http://schemas.openxmlformats.org/officeDocument/2006/relationships/theme" Target="/xl/theme/theme1.xml" Id="R3375404fae914d16" /><Relationship Type="http://schemas.openxmlformats.org/officeDocument/2006/relationships/sharedStrings" Target="/xl/sharedStrings.xml" Id="Rf696ab629bd3416b" /><Relationship Type="http://schemas.openxmlformats.org/officeDocument/2006/relationships/worksheet" Target="/xl/worksheets/sheet1.xml" Id="Ra4d5684c38e6430a" /><Relationship Type="http://schemas.openxmlformats.org/officeDocument/2006/relationships/worksheet" Target="/xl/worksheets/sheet2.xml" Id="Rfbe440e9982e4718" /><Relationship Type="http://schemas.openxmlformats.org/officeDocument/2006/relationships/worksheet" Target="/xl/worksheets/sheet3.xml" Id="R33e51c05626f41be" /><Relationship Type="http://schemas.openxmlformats.org/officeDocument/2006/relationships/worksheet" Target="/xl/worksheets/sheet4.xml" Id="Rf00770dc61f048d3" /><Relationship Type="http://schemas.openxmlformats.org/officeDocument/2006/relationships/worksheet" Target="/xl/worksheets/sheet5.xml" Id="R537a3f9950544e97" /></Relationships>
</file>

<file path=xl/tables/table1.xml><?xml version="1.0" encoding="utf-8"?>
<x:table xmlns:x="http://schemas.openxmlformats.org/spreadsheetml/2006/main" id="1" name="VariableComparisonTable" displayName="VariableComparisonTable" ref="A5:AA76" headerRowCount="1" totalsRowCount="0" totalsRowShown="0">
  <x:autoFilter ref="A5:AA76"/>
  <x:tableColumns count="27">
    <x:tableColumn id="1" name="Base concept"/>
    <x:tableColumn id="2" name="Display name"/>
    <x:tableColumn id="3" name="Category"/>
    <x:tableColumn id="4" name="Scope"/>
    <x:tableColumn id="5" name="Version A ID / anchor"/>
    <x:tableColumn id="6" name="A unit"/>
    <x:tableColumn id="7" name="A frequency"/>
    <x:tableColumn id="8" name="A method / role"/>
    <x:tableColumn id="9" name="A actual output"/>
    <x:tableColumn id="10" name="Version B ID"/>
    <x:tableColumn id="11" name="B unit / configured status"/>
    <x:tableColumn id="12" name="B transformation"/>
    <x:tableColumn id="13" name="B formula"/>
    <x:tableColumn id="14" name="B actual output"/>
    <x:tableColumn id="15" name="Version C ID"/>
    <x:tableColumn id="16" name="C unit / configured status"/>
    <x:tableColumn id="17" name="C transformation"/>
    <x:tableColumn id="18" name="C formula"/>
    <x:tableColumn id="19" name="C actual output"/>
    <x:tableColumn id="20" name="A → monthly difference"/>
    <x:tableColumn id="21" name="B → C difference"/>
    <x:tableColumn id="22" name="Observed B/C overlap"/>
    <x:tableColumn id="23" name="Materially different rows"/>
    <x:tableColumn id="24" name="Equal populated rows"/>
    <x:tableColumn id="25" name="One-null rows"/>
    <x:tableColumn id="26" name="Both-null rows"/>
    <x:tableColumn id="27" name="Interpretation / limi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ualStatisticsTable" displayName="ActualStatisticsTable" ref="A4:S187" headerRowCount="1" totalsRowCount="0" totalsRowShown="0">
  <x:autoFilter ref="A4:S187"/>
  <x:tableColumns count="19">
    <x:tableColumn id="1" name="Base concept"/>
    <x:tableColumn id="2" name="Display name"/>
    <x:tableColumn id="3" name="Category"/>
    <x:tableColumn id="4" name="Version"/>
    <x:tableColumn id="5" name="Variable ID"/>
    <x:tableColumn id="6" name="Unit"/>
    <x:tableColumn id="7" name="Configured status"/>
    <x:tableColumn id="8" name="Actual value status"/>
    <x:tableColumn id="9" name="Rows"/>
    <x:tableColumn id="10" name="Non-null rows"/>
    <x:tableColumn id="11" name="Null rows"/>
    <x:tableColumn id="12" name="Counties"/>
    <x:tableColumn id="13" name="Coverage start / reference"/>
    <x:tableColumn id="14" name="Coverage end / reference"/>
    <x:tableColumn id="15" name="Rows flagged nowcast"/>
    <x:tableColumn id="16" name="Rows flagged interpolated"/>
    <x:tableColumn id="17" name="Rows flagged carried"/>
    <x:tableColumn id="18" name="Rows flagged suppressed"/>
    <x:tableColumn id="19" name="Materialized source ID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ransformationMethodsTable" displayName="TransformationMethodsTable" ref="A4:I20" headerRowCount="1" totalsRowCount="0" totalsRowShown="0">
  <x:autoFilter ref="A4:I20"/>
  <x:tableColumns count="9">
    <x:tableColumn id="1" name="Version"/>
    <x:tableColumn id="2" name="Transformation ID"/>
    <x:tableColumn id="3" name="Variable count"/>
    <x:tableColumn id="4" name="Concept"/>
    <x:tableColumn id="5" name="Input roles"/>
    <x:tableColumn id="6" name="Formula"/>
    <x:tableColumn id="7" name="Benchmark / identity rule"/>
    <x:tableColumn id="8" name="Missing-value policy"/>
    <x:tableColumn id="9" name="Status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ComparisonSourcesTable" displayName="ComparisonSourcesTable" ref="A23:C32" headerRowCount="1" totalsRowCount="0" totalsRowShown="0">
  <x:autoFilter ref="A23:C32"/>
  <x:tableColumns count="3">
    <x:tableColumn id="1" name="Source"/>
    <x:tableColumn id="2" name="Path"/>
    <x:tableColumn id="3" name="Role in this workboo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Housing Database">
  <a:themeElements>
    <a:clrScheme name="Housing Databas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Housing Databas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fbee1545bb49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3172a99c4f4f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dbaf5bbf3845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02d82ea48d43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21" hidden="0" customWidth="1"/>
    <x:col min="4" max="4" width="18" hidden="0" customWidth="1"/>
    <x:col min="5" max="5" width="21" hidden="0" customWidth="1"/>
    <x:col min="6" max="6" width="14" hidden="0" customWidth="1"/>
    <x:col min="7" max="7" width="21" hidden="0" customWidth="1"/>
    <x:col min="8" max="8" width="18" hidden="0" customWidth="1"/>
    <x:col min="9" max="9" width="21" hidden="0" customWidth="1"/>
    <x:col min="10" max="10" width="18" hidden="0" customWidth="1"/>
  </x:cols>
  <x:sheetData>
    <x:row r="1" ht="34" customHeight="1">
      <x:c r="A1" s="4" t="str">
        <x:v>Housing-Finance Variables — Parallel Version A / B / C Comparison</x:v>
      </x:c>
      <x:c r="B1" s="4" t="str">
        <x:v>Housing-Finance Variables — Parallel Version A / B / C Comparison</x:v>
      </x:c>
      <x:c r="C1" s="4" t="str">
        <x:v>Housing-Finance Variables — Parallel Version A / B / C Comparison</x:v>
      </x:c>
      <x:c r="D1" s="4" t="str">
        <x:v>Housing-Finance Variables — Parallel Version A / B / C Comparison</x:v>
      </x:c>
      <x:c r="E1" s="4" t="str">
        <x:v>Housing-Finance Variables — Parallel Version A / B / C Comparison</x:v>
      </x:c>
      <x:c r="F1" s="4" t="str">
        <x:v>Housing-Finance Variables — Parallel Version A / B / C Comparison</x:v>
      </x:c>
      <x:c r="G1" s="4" t="str">
        <x:v>Housing-Finance Variables — Parallel Version A / B / C Comparison</x:v>
      </x:c>
      <x:c r="H1" s="4" t="str">
        <x:v>Housing-Finance Variables — Parallel Version A / B / C Comparison</x:v>
      </x:c>
      <x:c r="I1" s="4" t="str">
        <x:v>Housing-Finance Variables — Parallel Version A / B / C Comparison</x:v>
      </x:c>
      <x:c r="J1" s="4" t="str">
        <x:v>Housing-Finance Variables — Parallel Version A / B / C Comparison</x:v>
      </x:c>
    </x:row>
    <x:row r="2" ht="34" customHeight="1">
      <x:c r="A2" s="8" t="str">
        <x:v>Complete concept-level crosswalk using the authoritative dictionaries, transformation catalogs, methodology, and current materialized outputs. Generated 2026-08-24.</x:v>
      </x:c>
      <x:c r="B2" s="8" t="str">
        <x:v>Complete concept-level crosswalk using the authoritative dictionaries, transformation catalogs, methodology, and current materialized outputs. Generated 2026-08-24.</x:v>
      </x:c>
      <x:c r="C2" s="8" t="str">
        <x:v>Complete concept-level crosswalk using the authoritative dictionaries, transformation catalogs, methodology, and current materialized outputs. Generated 2026-08-24.</x:v>
      </x:c>
      <x:c r="D2" s="8" t="str">
        <x:v>Complete concept-level crosswalk using the authoritative dictionaries, transformation catalogs, methodology, and current materialized outputs. Generated 2026-08-24.</x:v>
      </x:c>
      <x:c r="E2" s="8" t="str">
        <x:v>Complete concept-level crosswalk using the authoritative dictionaries, transformation catalogs, methodology, and current materialized outputs. Generated 2026-08-24.</x:v>
      </x:c>
      <x:c r="F2" s="8" t="str">
        <x:v>Complete concept-level crosswalk using the authoritative dictionaries, transformation catalogs, methodology, and current materialized outputs. Generated 2026-08-24.</x:v>
      </x:c>
      <x:c r="G2" s="8" t="str">
        <x:v>Complete concept-level crosswalk using the authoritative dictionaries, transformation catalogs, methodology, and current materialized outputs. Generated 2026-08-24.</x:v>
      </x:c>
      <x:c r="H2" s="8" t="str">
        <x:v>Complete concept-level crosswalk using the authoritative dictionaries, transformation catalogs, methodology, and current materialized outputs. Generated 2026-08-24.</x:v>
      </x:c>
      <x:c r="I2" s="8" t="str">
        <x:v>Complete concept-level crosswalk using the authoritative dictionaries, transformation catalogs, methodology, and current materialized outputs. Generated 2026-08-24.</x:v>
      </x:c>
      <x:c r="J2" s="8" t="str">
        <x:v>Complete concept-level crosswalk using the authoritative dictionaries, transformation catalogs, methodology, and current materialized outputs. Generated 2026-08-24.</x:v>
      </x:c>
    </x:row>
    <x:row r="4">
      <x:c r="A4" s="12" t="str">
        <x:v>Version A IDs</x:v>
      </x:c>
      <x:c r="B4" s="12" t="str">
        <x:v>Version A IDs</x:v>
      </x:c>
      <x:c r="C4" s="34" t="str">
        <x:v>Version B IDs</x:v>
      </x:c>
      <x:c r="D4" s="34" t="str">
        <x:v>Version B IDs</x:v>
      </x:c>
      <x:c r="E4" s="55" t="str">
        <x:v>Version C IDs</x:v>
      </x:c>
      <x:c r="F4" s="55" t="str">
        <x:v>Version C IDs</x:v>
      </x:c>
      <x:c r="G4" s="76" t="str">
        <x:v>Concept union</x:v>
      </x:c>
      <x:c r="H4" s="76" t="str">
        <x:v>Concept union</x:v>
      </x:c>
      <x:c r="I4" s="97" t="str">
        <x:v>Shared A/B/C</x:v>
      </x:c>
      <x:c r="J4" s="97" t="str">
        <x:v>Shared A/B/C</x:v>
      </x:c>
    </x:row>
    <x:row r="5">
      <x:c r="A5" s="27" t="n">
        <x:f>COUNTIF('Actual Statistics'!$D$5:$D$187,"A")</x:f>
        <x:v>67</x:v>
      </x:c>
      <x:c r="B5" s="28"/>
      <x:c r="C5" s="48" t="n">
        <x:f>COUNTIF('Actual Statistics'!$D$5:$D$187,"B")</x:f>
        <x:v>58</x:v>
      </x:c>
      <x:c r="D5" s="49"/>
      <x:c r="E5" s="69" t="n">
        <x:f>COUNTIF('Actual Statistics'!$D$5:$D$187,"C")</x:f>
        <x:v>58</x:v>
      </x:c>
      <x:c r="F5" s="70"/>
      <x:c r="G5" s="90" t="n">
        <x:f>COUNTA('Variable Comparison'!$A$6:$A$76)</x:f>
        <x:v>71</x:v>
      </x:c>
      <x:c r="H5" s="91"/>
      <x:c r="I5" s="111" t="n">
        <x:f>COUNTIF('Variable Comparison'!$D$6:$D$76,"Shared A/B/C")</x:f>
        <x:v>54</x:v>
      </x:c>
      <x:c r="J5" s="112"/>
    </x:row>
    <x:row r="6">
      <x:c r="A6" s="29"/>
      <x:c r="B6" s="30"/>
      <x:c r="C6" s="50"/>
      <x:c r="D6" s="51"/>
      <x:c r="E6" s="71"/>
      <x:c r="F6" s="72"/>
      <x:c r="G6" s="92"/>
      <x:c r="H6" s="93"/>
      <x:c r="I6" s="113"/>
      <x:c r="J6" s="114"/>
    </x:row>
    <x:row r="8" ht="24" customHeight="1">
      <x:c r="A8" s="116" t="str">
        <x:v>Version-level contract and current materialization</x:v>
      </x:c>
      <x:c r="B8" s="116" t="str">
        <x:v>Version-level contract and current materialization</x:v>
      </x:c>
      <x:c r="C8" s="116" t="str">
        <x:v>Version-level contract and current materialization</x:v>
      </x:c>
      <x:c r="D8" s="116" t="str">
        <x:v>Version-level contract and current materialization</x:v>
      </x:c>
      <x:c r="E8" s="116" t="str">
        <x:v>Version-level contract and current materialization</x:v>
      </x:c>
      <x:c r="F8" s="116" t="str">
        <x:v>Version-level contract and current materialization</x:v>
      </x:c>
      <x:c r="G8" s="116" t="str">
        <x:v>Version-level contract and current materialization</x:v>
      </x:c>
      <x:c r="H8" s="116" t="str">
        <x:v>Version-level contract and current materialization</x:v>
      </x:c>
      <x:c r="I8" s="116" t="str">
        <x:v>Version-level contract and current materialization</x:v>
      </x:c>
      <x:c r="J8" s="116" t="str">
        <x:v>Version-level contract and current materialization</x:v>
      </x:c>
    </x:row>
    <x:row r="9">
      <x:c r="A9" s="121" t="str">
        <x:v>Version</x:v>
      </x:c>
      <x:c r="B9" s="121" t="str">
        <x:v>Exact suffix</x:v>
      </x:c>
      <x:c r="C9" s="121" t="str">
        <x:v>Purpose</x:v>
      </x:c>
      <x:c r="D9" s="121" t="str">
        <x:v>Information rule</x:v>
      </x:c>
      <x:c r="E9" s="121" t="str">
        <x:v>Current output</x:v>
      </x:c>
      <x:c r="F9" s="121" t="str">
        <x:v>Variable IDs</x:v>
      </x:c>
      <x:c r="G9" s="121" t="str">
        <x:v>Rows</x:v>
      </x:c>
      <x:c r="H9" s="121" t="str">
        <x:v>Key row flags</x:v>
      </x:c>
    </x:row>
    <x:row r="10" ht="64" customHeight="1">
      <x:c r="A10" s="140" t="str">
        <x:v>A</x:v>
      </x:c>
      <x:c r="B10" s="141" t="str">
        <x:v>_benchmark</x:v>
      </x:c>
      <x:c r="C10" s="141" t="str">
        <x:v>Source-faithful audit and rebenchmarking layer</x:v>
      </x:c>
      <x:c r="D10" s="141" t="str">
        <x:v>Directly published or directly aggregated data at the source's actual frequency</x:v>
      </x:c>
      <x:c r="E10" s="141" t="str">
        <x:v>Native-frequency benchmark; month is intentionally blank</x:v>
      </x:c>
      <x:c r="F10" s="149" t="n">
        <x:v>67</x:v>
      </x:c>
      <x:c r="G10" s="149" t="n">
        <x:v>3886</x:v>
      </x:c>
      <x:c r="H10" s="142" t="str">
        <x:v>0 modeled; 0 nowcast; 0 interpolated</x:v>
      </x:c>
    </x:row>
    <x:row r="11" ht="64" customHeight="1">
      <x:c r="A11" s="143" t="str">
        <x:v>B</x:v>
      </x:c>
      <x:c r="B11" s="144" t="str">
        <x:v>_monthly_hist</x:v>
      </x:c>
      <x:c r="C11" s="144" t="str">
        <x:v>Retrospective monthly history</x:v>
      </x:c>
      <x:c r="D11" s="144" t="str">
        <x:v>May use full history and later benchmark endpoints; no information cutoff</x:v>
      </x:c>
      <x:c r="E11" s="144" t="str">
        <x:v>2013-03 to 2026-03; variable-specific coverage</x:v>
      </x:c>
      <x:c r="F11" s="150" t="n">
        <x:v>58</x:v>
      </x:c>
      <x:c r="G11" s="150" t="n">
        <x:v>225388</x:v>
      </x:c>
      <x:c r="H11" s="145" t="str">
        <x:v>60,320 interpolated; 0 nowcast</x:v>
      </x:c>
    </x:row>
    <x:row r="12" ht="64" customHeight="1">
      <x:c r="A12" s="146" t="str">
        <x:v>C</x:v>
      </x:c>
      <x:c r="B12" s="147" t="str">
        <x:v>_monthly_rt</x:v>
      </x:c>
      <x:c r="C12" s="147" t="str">
        <x:v>Real-time monthly cutoff vintage</x:v>
      </x:c>
      <x:c r="D12" s="147" t="str">
        <x:v>Only cutoff-eligible releases/retrievals; no future endpoint or interpolation</x:v>
      </x:c>
      <x:c r="E12" s="147" t="str">
        <x:v>2022-01 to 2026-08; cutoff 2026-08-17</x:v>
      </x:c>
      <x:c r="F12" s="151" t="n">
        <x:v>58</x:v>
      </x:c>
      <x:c r="G12" s="151" t="n">
        <x:v>188384</x:v>
      </x:c>
      <x:c r="H12" s="148" t="str">
        <x:v>29,232 nowcast; 121,220 carried; 0 interpolated</x:v>
      </x:c>
    </x:row>
    <x:row r="14" ht="24" customHeight="1">
      <x:c r="A14" s="153" t="str">
        <x:v>Concept coverage</x:v>
      </x:c>
      <x:c r="B14" s="153" t="str">
        <x:v>Concept coverage</x:v>
      </x:c>
      <x:c r="C14" s="153" t="str">
        <x:v>Concept coverage</x:v>
      </x:c>
      <x:c r="D14" s="153" t="str">
        <x:v>Concept coverage</x:v>
      </x:c>
      <x:c r="E14" s="160" t="str">
        <x:v>What is genuinely different between B and C</x:v>
      </x:c>
      <x:c r="F14" s="160" t="str">
        <x:v>What is genuinely different between B and C</x:v>
      </x:c>
      <x:c r="G14" s="160" t="str">
        <x:v>What is genuinely different between B and C</x:v>
      </x:c>
      <x:c r="H14" s="160" t="str">
        <x:v>What is genuinely different between B and C</x:v>
      </x:c>
      <x:c r="I14" s="160" t="str">
        <x:v>What is genuinely different between B and C</x:v>
      </x:c>
      <x:c r="J14" s="160" t="str">
        <x:v>What is genuinely different between B and C</x:v>
      </x:c>
    </x:row>
    <x:row r="15" ht="38" customHeight="1">
      <x:c r="A15" s="158" t="str">
        <x:v>Concept group</x:v>
      </x:c>
      <x:c r="B15" s="158" t="str">
        <x:v>Count</x:v>
      </x:c>
      <x:c r="C15" s="158" t="str">
        <x:v>Meaning</x:v>
      </x:c>
      <x:c r="E15" s="169" t="str">
        <x:v>14 concepts use different monthly construction rules: four Redfin proxy paths, four mortgage-debt paths, and six equity scenarios.</x:v>
      </x:c>
      <x:c r="F15" s="170" t="str">
        <x:v>14 concepts use different monthly construction rules: four Redfin proxy paths, four mortgage-debt paths, and six equity scenarios.</x:v>
      </x:c>
      <x:c r="G15" s="170" t="str">
        <x:v>14 concepts use different monthly construction rules: four Redfin proxy paths, four mortgage-debt paths, and six equity scenarios.</x:v>
      </x:c>
      <x:c r="H15" s="170" t="str">
        <x:v>14 concepts use different monthly construction rules: four Redfin proxy paths, four mortgage-debt paths, and six equity scenarios.</x:v>
      </x:c>
      <x:c r="I15" s="170" t="str">
        <x:v>14 concepts use different monthly construction rules: four Redfin proxy paths, four mortgage-debt paths, and six equity scenarios.</x:v>
      </x:c>
      <x:c r="J15" s="171" t="str">
        <x:v>14 concepts use different monthly construction rules: four Redfin proxy paths, four mortgage-debt paths, and six equity scenarios.</x:v>
      </x:c>
    </x:row>
    <x:row r="16" ht="38" customHeight="1">
      <x:c r="A16" s="140" t="str">
        <x:v>A-only ACS support</x:v>
      </x:c>
      <x:c r="B16" s="149" t="n">
        <x:v>10</x:v>
      </x:c>
      <x:c r="C16" s="142" t="str">
        <x:v>Direct ACS counts, value stocks, income, and cost inputs</x:v>
      </x:c>
      <x:c r="E16" s="179" t="str">
        <x:v>Only the ten debt/equity concepts produce material value differences inside the current overlapping period; finalized-year Redfin proxy values reconcile to the same A anchor.</x:v>
      </x:c>
      <x:c r="F16" s="180" t="str">
        <x:v>Only the ten debt/equity concepts produce material value differences inside the current overlapping period; finalized-year Redfin proxy values reconcile to the same A anchor.</x:v>
      </x:c>
      <x:c r="G16" s="180" t="str">
        <x:v>Only the ten debt/equity concepts produce material value differences inside the current overlapping period; finalized-year Redfin proxy values reconcile to the same A anchor.</x:v>
      </x:c>
      <x:c r="H16" s="180" t="str">
        <x:v>Only the ten debt/equity concepts produce material value differences inside the current overlapping period; finalized-year Redfin proxy values reconcile to the same A anchor.</x:v>
      </x:c>
      <x:c r="I16" s="180" t="str">
        <x:v>Only the ten debt/equity concepts produce material value differences inside the current overlapping period; finalized-year Redfin proxy values reconcile to the same A anchor.</x:v>
      </x:c>
      <x:c r="J16" s="181" t="str">
        <x:v>Only the ten debt/equity concepts produce material value differences inside the current overlapping period; finalized-year Redfin proxy values reconcile to the same A anchor.</x:v>
      </x:c>
    </x:row>
    <x:row r="17" ht="38" customHeight="1">
      <x:c r="A17" s="143" t="str">
        <x:v>A-only PUMS support/audit</x:v>
      </x:c>
      <x:c r="B17" s="150" t="n">
        <x:v>3</x:v>
      </x:c>
      <x:c r="C17" s="145" t="str">
        <x:v>P&amp;I-share parameters and junior-lien diagnostic</x:v>
      </x:c>
      <x:c r="E17" s="169" t="str">
        <x:v>28 payment/HMDA concepts use the same released benchmark value where comparable, but B repeats the benchmark year while C carries only cutoff-eligible values and flags nowcasts/carries.</x:v>
      </x:c>
      <x:c r="F17" s="170" t="str">
        <x:v>28 payment/HMDA concepts use the same released benchmark value where comparable, but B repeats the benchmark year while C carries only cutoff-eligible values and flags nowcasts/carries.</x:v>
      </x:c>
      <x:c r="G17" s="170" t="str">
        <x:v>28 payment/HMDA concepts use the same released benchmark value where comparable, but B repeats the benchmark year while C carries only cutoff-eligible values and flags nowcasts/carries.</x:v>
      </x:c>
      <x:c r="H17" s="170" t="str">
        <x:v>28 payment/HMDA concepts use the same released benchmark value where comparable, but B repeats the benchmark year while C carries only cutoff-eligible values and flags nowcasts/carries.</x:v>
      </x:c>
      <x:c r="I17" s="170" t="str">
        <x:v>28 payment/HMDA concepts use the same released benchmark value where comparable, but B repeats the benchmark year while C carries only cutoff-eligible values and flags nowcasts/carries.</x:v>
      </x:c>
      <x:c r="J17" s="171" t="str">
        <x:v>28 payment/HMDA concepts use the same released benchmark value where comparable, but B repeats the benchmark year while C carries only cutoff-eligible values and flags nowcasts/carries.</x:v>
      </x:c>
    </x:row>
    <x:row r="18" ht="38" customHeight="1">
      <x:c r="A18" s="143" t="str">
        <x:v>Payment controls</x:v>
      </x:c>
      <x:c r="B18" s="150" t="n">
        <x:v>4</x:v>
      </x:c>
      <x:c r="C18" s="145" t="str">
        <x:v>A source benchmark; B repeat; C latest-eligible carry</x:v>
      </x:c>
      <x:c r="E18" s="179" t="str">
        <x:v>16 canonical concepts are intentional explicit nulls in both monthly versions; they are present, not omitted, and proxies never overwrite them.</x:v>
      </x:c>
      <x:c r="F18" s="180" t="str">
        <x:v>16 canonical concepts are intentional explicit nulls in both monthly versions; they are present, not omitted, and proxies never overwrite them.</x:v>
      </x:c>
      <x:c r="G18" s="180" t="str">
        <x:v>16 canonical concepts are intentional explicit nulls in both monthly versions; they are present, not omitted, and proxies never overwrite them.</x:v>
      </x:c>
      <x:c r="H18" s="180" t="str">
        <x:v>16 canonical concepts are intentional explicit nulls in both monthly versions; they are present, not omitted, and proxies never overwrite them.</x:v>
      </x:c>
      <x:c r="I18" s="180" t="str">
        <x:v>16 canonical concepts are intentional explicit nulls in both monthly versions; they are present, not omitted, and proxies never overwrite them.</x:v>
      </x:c>
      <x:c r="J18" s="181" t="str">
        <x:v>16 canonical concepts are intentional explicit nulls in both monthly versions; they are present, not omitted, and proxies never overwrite them.</x:v>
      </x:c>
    </x:row>
    <x:row r="19" ht="38" customHeight="1">
      <x:c r="A19" s="143" t="str">
        <x:v>HMDA rates/shares</x:v>
      </x:c>
      <x:c r="B19" s="150" t="n">
        <x:v>24</x:v>
      </x:c>
      <x:c r="C19" s="145" t="str">
        <x:v>A annual; B activity-year repeat; C cutoff-eligible carry</x:v>
      </x:c>
      <x:c r="E19" s="169" t="str">
        <x:v>Current C contains one completed cutoff (2026-08-17). It is a valid forward-going vintage, not a historical pseudo-out-of-sample vintage panel.</x:v>
      </x:c>
      <x:c r="F19" s="170" t="str">
        <x:v>Current C contains one completed cutoff (2026-08-17). It is a valid forward-going vintage, not a historical pseudo-out-of-sample vintage panel.</x:v>
      </x:c>
      <x:c r="G19" s="170" t="str">
        <x:v>Current C contains one completed cutoff (2026-08-17). It is a valid forward-going vintage, not a historical pseudo-out-of-sample vintage panel.</x:v>
      </x:c>
      <x:c r="H19" s="170" t="str">
        <x:v>Current C contains one completed cutoff (2026-08-17). It is a valid forward-going vintage, not a historical pseudo-out-of-sample vintage panel.</x:v>
      </x:c>
      <x:c r="I19" s="170" t="str">
        <x:v>Current C contains one completed cutoff (2026-08-17). It is a valid forward-going vintage, not a historical pseudo-out-of-sample vintage panel.</x:v>
      </x:c>
      <x:c r="J19" s="171" t="str">
        <x:v>Current C contains one completed cutoff (2026-08-17). It is a valid forward-going vintage, not a historical pseudo-out-of-sample vintage panel.</x:v>
      </x:c>
    </x:row>
    <x:row r="20" ht="38" customHeight="1">
      <x:c r="A20" s="143" t="str">
        <x:v>Canonical null monthly targets</x:v>
      </x:c>
      <x:c r="B20" s="150" t="n">
        <x:v>16</x:v>
      </x:c>
      <x:c r="C20" s="145" t="str">
        <x:v>4 monthly flows + 12 calibrated debt/equity/LTV targets</x:v>
      </x:c>
      <x:c r="E20" s="179" t="str">
        <x:v>See the Variable Comparison sheet for every ID and the Transformation Methods sheet for the executed formula text.</x:v>
      </x:c>
      <x:c r="F20" s="180" t="str">
        <x:v>See the Variable Comparison sheet for every ID and the Transformation Methods sheet for the executed formula text.</x:v>
      </x:c>
      <x:c r="G20" s="180" t="str">
        <x:v>See the Variable Comparison sheet for every ID and the Transformation Methods sheet for the executed formula text.</x:v>
      </x:c>
      <x:c r="H20" s="180" t="str">
        <x:v>See the Variable Comparison sheet for every ID and the Transformation Methods sheet for the executed formula text.</x:v>
      </x:c>
      <x:c r="I20" s="180" t="str">
        <x:v>See the Variable Comparison sheet for every ID and the Transformation Methods sheet for the executed formula text.</x:v>
      </x:c>
      <x:c r="J20" s="181" t="str">
        <x:v>See the Variable Comparison sheet for every ID and the Transformation Methods sheet for the executed formula text.</x:v>
      </x:c>
    </x:row>
    <x:row r="21" ht="42" customHeight="1">
      <x:c r="A21" s="146" t="str">
        <x:v>Monthly proxies/scenarios</x:v>
      </x:c>
      <x:c r="B21" s="151" t="n">
        <x:v>14</x:v>
      </x:c>
      <x:c r="C21" s="148" t="str">
        <x:v>4 Redfin proxies + 4 debt paths + 6 equity scenarios</x:v>
      </x:c>
    </x:row>
    <x:row r="23" ht="24" customHeight="1">
      <x:c r="A23" s="183" t="str">
        <x:v>Materialized B/C overlap evidence</x:v>
      </x:c>
      <x:c r="B23" s="183" t="str">
        <x:v>Materialized B/C overlap evidence</x:v>
      </x:c>
      <x:c r="C23" s="183" t="str">
        <x:v>Materialized B/C overlap evidence</x:v>
      </x:c>
      <x:c r="D23" s="183" t="str">
        <x:v>Materialized B/C overlap evidence</x:v>
      </x:c>
      <x:c r="E23" s="183" t="str">
        <x:v>Materialized B/C overlap evidence</x:v>
      </x:c>
      <x:c r="F23" s="183" t="str">
        <x:v>Materialized B/C overlap evidence</x:v>
      </x:c>
      <x:c r="G23" s="183" t="str">
        <x:v>Materialized B/C overlap evidence</x:v>
      </x:c>
      <x:c r="H23" s="183" t="str">
        <x:v>Materialized B/C overlap evidence</x:v>
      </x:c>
      <x:c r="I23" s="183" t="str">
        <x:v>Materialized B/C overlap evidence</x:v>
      </x:c>
      <x:c r="J23" s="183" t="str">
        <x:v>Materialized B/C overlap evidence</x:v>
      </x:c>
    </x:row>
    <x:row r="24">
      <x:c r="A24" s="188" t="str">
        <x:v>Comparable rows</x:v>
      </x:c>
      <x:c r="B24" s="188" t="str">
        <x:v>Both populated</x:v>
      </x:c>
      <x:c r="C24" s="188" t="str">
        <x:v>Materially different</x:v>
      </x:c>
      <x:c r="D24" s="188" t="str">
        <x:v>Numerically equal</x:v>
      </x:c>
      <x:c r="E24" s="188" t="str">
        <x:v>One-null (C populated)</x:v>
      </x:c>
      <x:c r="F24" s="188" t="str">
        <x:v>Both null</x:v>
      </x:c>
      <x:c r="G24" s="188" t="str">
        <x:v>B-only populated</x:v>
      </x:c>
      <x:c r="H24" s="188" t="str">
        <x:v>Tolerance</x:v>
      </x:c>
      <x:c r="I24" s="188" t="str">
        <x:v>B cutoff</x:v>
      </x:c>
      <x:c r="J24" s="188" t="str">
        <x:v>C cutoff</x:v>
      </x:c>
    </x:row>
    <x:row r="25" ht="36" customHeight="1">
      <x:c r="A25" s="201" t="n">
        <x:v>90132</x:v>
      </x:c>
      <x:c r="B25" s="202" t="n">
        <x:v>39096</x:v>
      </x:c>
      <x:c r="C25" s="202" t="n">
        <x:v>22097</x:v>
      </x:c>
      <x:c r="D25" s="202" t="n">
        <x:v>16999</x:v>
      </x:c>
      <x:c r="E25" s="202" t="n">
        <x:v>6960</x:v>
      </x:c>
      <x:c r="F25" s="202" t="n">
        <x:v>44076</x:v>
      </x:c>
      <x:c r="G25" s="202" t="n">
        <x:v>0</x:v>
      </x:c>
      <x:c r="H25" s="203" t="str">
        <x:v>rtol 1e-12; atol 1e-9</x:v>
      </x:c>
      <x:c r="I25" s="203" t="str">
        <x:v>None</x:v>
      </x:c>
      <x:c r="J25" s="204" t="str">
        <x:v>2026-08-17</x:v>
      </x:c>
    </x:row>
    <x:row r="26" ht="36" customHeight="1">
      <x:c r="A26" s="208" t="str">
        <x:v>Matched on county + month + base concept after removing version suffixes</x:v>
      </x:c>
      <x:c r="B26" s="209" t="str">
        <x:v>Jointly non-null</x:v>
      </x:c>
      <x:c r="C26" s="209" t="str">
        <x:v>Concentrated in debt/equity paths</x:v>
      </x:c>
      <x:c r="D26" s="209" t="str">
        <x:v>Same benchmark/finalized value</x:v>
      </x:c>
      <x:c r="E26" s="209" t="str">
        <x:v>C extends coverage</x:v>
      </x:c>
      <x:c r="F26" s="209" t="str">
        <x:v>Mostly intentional null contracts</x:v>
      </x:c>
      <x:c r="G26" s="209" t="str">
        <x:v>None</x:v>
      </x:c>
      <x:c r="H26" s="209" t="str">
        <x:v>Ignores harmless float noise</x:v>
      </x:c>
      <x:c r="I26" s="209" t="str">
        <x:v>Retrospective</x:v>
      </x:c>
      <x:c r="J26" s="210" t="str">
        <x:v>Append-only vintage</x:v>
      </x:c>
    </x:row>
    <x:row r="28">
      <x:c r="A28" s="230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B28" s="231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C28" s="231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D28" s="231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E28" s="231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F28" s="231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G28" s="231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H28" s="231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I28" s="231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J28" s="232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</x:row>
    <x:row r="29">
      <x:c r="A29" s="233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B29" s="234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C29" s="234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D29" s="234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E29" s="234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F29" s="234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G29" s="234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H29" s="234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I29" s="234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J29" s="235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</x:row>
    <x:row r="30">
      <x:c r="A30" s="233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B30" s="234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C30" s="234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D30" s="234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E30" s="234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F30" s="234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G30" s="234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H30" s="234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I30" s="234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J30" s="235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</x:row>
    <x:row r="31">
      <x:c r="A31" s="236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B31" s="237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C31" s="237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D31" s="237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E31" s="237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F31" s="237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G31" s="237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H31" s="237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I31" s="237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  <x:c r="J31" s="238" t="str">
        <x:v>How to read this workbook
The Variable Comparison sheet has 71 conceptual rows because a complete union must include 54 concepts shared by A/B/C, four B/C-only Redfin proxy concepts that point to A HMDA anchors, and 13 A-only support/audit concepts. The Actual Statistics sheet provides numeric row, coverage, null, and flag counts. Flag counts are row-status counts and may include explicit-null observations. The current C comparison is for cutoff 2026-08-17 only.</x:v>
      </x:c>
    </x:row>
  </x:sheetData>
  <x:mergeCells>
    <x:mergeCell ref="A1:J1"/>
    <x:mergeCell ref="A2:J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A8:J8"/>
    <x:mergeCell ref="A14:D14"/>
    <x:mergeCell ref="E14:J14"/>
    <x:mergeCell ref="E15:J15"/>
    <x:mergeCell ref="E16:J16"/>
    <x:mergeCell ref="E17:J17"/>
    <x:mergeCell ref="E18:J18"/>
    <x:mergeCell ref="E19:J19"/>
    <x:mergeCell ref="E20:J20"/>
    <x:mergeCell ref="A23:J23"/>
    <x:mergeCell ref="A28:J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1" hidden="0" customWidth="1"/>
    <x:col min="3" max="3" width="33" hidden="0" customWidth="1"/>
    <x:col min="4" max="4" width="19" hidden="0" customWidth="1"/>
    <x:col min="5" max="5" width="46" hidden="0" customWidth="1"/>
    <x:col min="6" max="6" width="18" hidden="0" customWidth="1"/>
    <x:col min="7" max="7" width="24" hidden="0" customWidth="1"/>
    <x:col min="8" max="8" width="48" hidden="0" customWidth="1"/>
    <x:col min="9" max="9" width="34" hidden="0" customWidth="1"/>
    <x:col min="10" max="10" width="46" hidden="0" customWidth="1"/>
    <x:col min="11" max="11" width="24" hidden="0" customWidth="1"/>
    <x:col min="12" max="12" width="46" hidden="0" customWidth="1"/>
    <x:col min="13" max="13" width="54" hidden="0" customWidth="1"/>
    <x:col min="14" max="14" width="35" hidden="0" customWidth="1"/>
    <x:col min="15" max="15" width="46" hidden="0" customWidth="1"/>
    <x:col min="16" max="16" width="24" hidden="0" customWidth="1"/>
    <x:col min="17" max="17" width="46" hidden="0" customWidth="1"/>
    <x:col min="18" max="18" width="54" hidden="0" customWidth="1"/>
    <x:col min="19" max="19" width="35" hidden="0" customWidth="1"/>
    <x:col min="20" max="20" width="50" hidden="0" customWidth="1"/>
    <x:col min="21" max="21" width="58" hidden="0" customWidth="1"/>
    <x:col min="22" max="22" width="3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52" hidden="0" customWidth="1"/>
  </x:cols>
  <x:sheetData>
    <x:row r="1" ht="34" customHeight="1">
      <x:c r="A1" s="4" t="str">
        <x:v>Complete Variable-by-Variable A / B / C Crosswalk</x:v>
      </x:c>
      <x:c r="B1" s="4" t="str">
        <x:v>Complete Variable-by-Variable A / B / C Crosswalk</x:v>
      </x:c>
      <x:c r="C1" s="4" t="str">
        <x:v>Complete Variable-by-Variable A / B / C Crosswalk</x:v>
      </x:c>
      <x:c r="D1" s="4" t="str">
        <x:v>Complete Variable-by-Variable A / B / C Crosswalk</x:v>
      </x:c>
      <x:c r="E1" s="4" t="str">
        <x:v>Complete Variable-by-Variable A / B / C Crosswalk</x:v>
      </x:c>
      <x:c r="F1" s="4" t="str">
        <x:v>Complete Variable-by-Variable A / B / C Crosswalk</x:v>
      </x:c>
      <x:c r="G1" s="4" t="str">
        <x:v>Complete Variable-by-Variable A / B / C Crosswalk</x:v>
      </x:c>
      <x:c r="H1" s="4" t="str">
        <x:v>Complete Variable-by-Variable A / B / C Crosswalk</x:v>
      </x:c>
      <x:c r="I1" s="4" t="str">
        <x:v>Complete Variable-by-Variable A / B / C Crosswalk</x:v>
      </x:c>
      <x:c r="J1" s="4" t="str">
        <x:v>Complete Variable-by-Variable A / B / C Crosswalk</x:v>
      </x:c>
      <x:c r="K1" s="4" t="str">
        <x:v>Complete Variable-by-Variable A / B / C Crosswalk</x:v>
      </x:c>
      <x:c r="L1" s="4" t="str">
        <x:v>Complete Variable-by-Variable A / B / C Crosswalk</x:v>
      </x:c>
      <x:c r="M1" s="4" t="str">
        <x:v>Complete Variable-by-Variable A / B / C Crosswalk</x:v>
      </x:c>
      <x:c r="N1" s="4" t="str">
        <x:v>Complete Variable-by-Variable A / B / C Crosswalk</x:v>
      </x:c>
      <x:c r="O1" s="4" t="str">
        <x:v>Complete Variable-by-Variable A / B / C Crosswalk</x:v>
      </x:c>
      <x:c r="P1" s="4" t="str">
        <x:v>Complete Variable-by-Variable A / B / C Crosswalk</x:v>
      </x:c>
      <x:c r="Q1" s="4" t="str">
        <x:v>Complete Variable-by-Variable A / B / C Crosswalk</x:v>
      </x:c>
      <x:c r="R1" s="4" t="str">
        <x:v>Complete Variable-by-Variable A / B / C Crosswalk</x:v>
      </x:c>
      <x:c r="S1" s="4" t="str">
        <x:v>Complete Variable-by-Variable A / B / C Crosswalk</x:v>
      </x:c>
      <x:c r="T1" s="4" t="str">
        <x:v>Complete Variable-by-Variable A / B / C Crosswalk</x:v>
      </x:c>
      <x:c r="U1" s="4" t="str">
        <x:v>Complete Variable-by-Variable A / B / C Crosswalk</x:v>
      </x:c>
      <x:c r="V1" s="4" t="str">
        <x:v>Complete Variable-by-Variable A / B / C Crosswalk</x:v>
      </x:c>
      <x:c r="W1" s="4" t="str">
        <x:v>Complete Variable-by-Variable A / B / C Crosswalk</x:v>
      </x:c>
      <x:c r="X1" s="4" t="str">
        <x:v>Complete Variable-by-Variable A / B / C Crosswalk</x:v>
      </x:c>
      <x:c r="Y1" s="4" t="str">
        <x:v>Complete Variable-by-Variable A / B / C Crosswalk</x:v>
      </x:c>
      <x:c r="Z1" s="4" t="str">
        <x:v>Complete Variable-by-Variable A / B / C Crosswalk</x:v>
      </x:c>
      <x:c r="AA1" s="4" t="str">
        <x:v>Complete Variable-by-Variable A / B / C Crosswalk</x:v>
      </x:c>
    </x:row>
    <x:row r="2" ht="34" customHeight="1">
      <x:c r="A2" s="8" t="str">
        <x:v>71 conceptual rows = 54 direct A/B/C concepts + 4 B/C-only Redfin proxies linked to A HMDA anchors + 13 A-only support/audit concepts. Filter on row 5.</x:v>
      </x:c>
      <x:c r="B2" s="8" t="str">
        <x:v>71 conceptual rows = 54 direct A/B/C concepts + 4 B/C-only Redfin proxies linked to A HMDA anchors + 13 A-only support/audit concepts. Filter on row 5.</x:v>
      </x:c>
      <x:c r="C2" s="8" t="str">
        <x:v>71 conceptual rows = 54 direct A/B/C concepts + 4 B/C-only Redfin proxies linked to A HMDA anchors + 13 A-only support/audit concepts. Filter on row 5.</x:v>
      </x:c>
      <x:c r="D2" s="8" t="str">
        <x:v>71 conceptual rows = 54 direct A/B/C concepts + 4 B/C-only Redfin proxies linked to A HMDA anchors + 13 A-only support/audit concepts. Filter on row 5.</x:v>
      </x:c>
      <x:c r="E2" s="8" t="str">
        <x:v>71 conceptual rows = 54 direct A/B/C concepts + 4 B/C-only Redfin proxies linked to A HMDA anchors + 13 A-only support/audit concepts. Filter on row 5.</x:v>
      </x:c>
      <x:c r="F2" s="8" t="str">
        <x:v>71 conceptual rows = 54 direct A/B/C concepts + 4 B/C-only Redfin proxies linked to A HMDA anchors + 13 A-only support/audit concepts. Filter on row 5.</x:v>
      </x:c>
      <x:c r="G2" s="8" t="str">
        <x:v>71 conceptual rows = 54 direct A/B/C concepts + 4 B/C-only Redfin proxies linked to A HMDA anchors + 13 A-only support/audit concepts. Filter on row 5.</x:v>
      </x:c>
      <x:c r="H2" s="8" t="str">
        <x:v>71 conceptual rows = 54 direct A/B/C concepts + 4 B/C-only Redfin proxies linked to A HMDA anchors + 13 A-only support/audit concepts. Filter on row 5.</x:v>
      </x:c>
      <x:c r="I2" s="8" t="str">
        <x:v>71 conceptual rows = 54 direct A/B/C concepts + 4 B/C-only Redfin proxies linked to A HMDA anchors + 13 A-only support/audit concepts. Filter on row 5.</x:v>
      </x:c>
      <x:c r="J2" s="8" t="str">
        <x:v>71 conceptual rows = 54 direct A/B/C concepts + 4 B/C-only Redfin proxies linked to A HMDA anchors + 13 A-only support/audit concepts. Filter on row 5.</x:v>
      </x:c>
      <x:c r="K2" s="8" t="str">
        <x:v>71 conceptual rows = 54 direct A/B/C concepts + 4 B/C-only Redfin proxies linked to A HMDA anchors + 13 A-only support/audit concepts. Filter on row 5.</x:v>
      </x:c>
      <x:c r="L2" s="8" t="str">
        <x:v>71 conceptual rows = 54 direct A/B/C concepts + 4 B/C-only Redfin proxies linked to A HMDA anchors + 13 A-only support/audit concepts. Filter on row 5.</x:v>
      </x:c>
      <x:c r="M2" s="8" t="str">
        <x:v>71 conceptual rows = 54 direct A/B/C concepts + 4 B/C-only Redfin proxies linked to A HMDA anchors + 13 A-only support/audit concepts. Filter on row 5.</x:v>
      </x:c>
      <x:c r="N2" s="8" t="str">
        <x:v>71 conceptual rows = 54 direct A/B/C concepts + 4 B/C-only Redfin proxies linked to A HMDA anchors + 13 A-only support/audit concepts. Filter on row 5.</x:v>
      </x:c>
      <x:c r="O2" s="8" t="str">
        <x:v>71 conceptual rows = 54 direct A/B/C concepts + 4 B/C-only Redfin proxies linked to A HMDA anchors + 13 A-only support/audit concepts. Filter on row 5.</x:v>
      </x:c>
      <x:c r="P2" s="8" t="str">
        <x:v>71 conceptual rows = 54 direct A/B/C concepts + 4 B/C-only Redfin proxies linked to A HMDA anchors + 13 A-only support/audit concepts. Filter on row 5.</x:v>
      </x:c>
      <x:c r="Q2" s="8" t="str">
        <x:v>71 conceptual rows = 54 direct A/B/C concepts + 4 B/C-only Redfin proxies linked to A HMDA anchors + 13 A-only support/audit concepts. Filter on row 5.</x:v>
      </x:c>
      <x:c r="R2" s="8" t="str">
        <x:v>71 conceptual rows = 54 direct A/B/C concepts + 4 B/C-only Redfin proxies linked to A HMDA anchors + 13 A-only support/audit concepts. Filter on row 5.</x:v>
      </x:c>
      <x:c r="S2" s="8" t="str">
        <x:v>71 conceptual rows = 54 direct A/B/C concepts + 4 B/C-only Redfin proxies linked to A HMDA anchors + 13 A-only support/audit concepts. Filter on row 5.</x:v>
      </x:c>
      <x:c r="T2" s="8" t="str">
        <x:v>71 conceptual rows = 54 direct A/B/C concepts + 4 B/C-only Redfin proxies linked to A HMDA anchors + 13 A-only support/audit concepts. Filter on row 5.</x:v>
      </x:c>
      <x:c r="U2" s="8" t="str">
        <x:v>71 conceptual rows = 54 direct A/B/C concepts + 4 B/C-only Redfin proxies linked to A HMDA anchors + 13 A-only support/audit concepts. Filter on row 5.</x:v>
      </x:c>
      <x:c r="V2" s="8" t="str">
        <x:v>71 conceptual rows = 54 direct A/B/C concepts + 4 B/C-only Redfin proxies linked to A HMDA anchors + 13 A-only support/audit concepts. Filter on row 5.</x:v>
      </x:c>
      <x:c r="W2" s="8" t="str">
        <x:v>71 conceptual rows = 54 direct A/B/C concepts + 4 B/C-only Redfin proxies linked to A HMDA anchors + 13 A-only support/audit concepts. Filter on row 5.</x:v>
      </x:c>
      <x:c r="X2" s="8" t="str">
        <x:v>71 conceptual rows = 54 direct A/B/C concepts + 4 B/C-only Redfin proxies linked to A HMDA anchors + 13 A-only support/audit concepts. Filter on row 5.</x:v>
      </x:c>
      <x:c r="Y2" s="8" t="str">
        <x:v>71 conceptual rows = 54 direct A/B/C concepts + 4 B/C-only Redfin proxies linked to A HMDA anchors + 13 A-only support/audit concepts. Filter on row 5.</x:v>
      </x:c>
      <x:c r="Z2" s="8" t="str">
        <x:v>71 conceptual rows = 54 direct A/B/C concepts + 4 B/C-only Redfin proxies linked to A HMDA anchors + 13 A-only support/audit concepts. Filter on row 5.</x:v>
      </x:c>
      <x:c r="AA2" s="8" t="str">
        <x:v>71 conceptual rows = 54 direct A/B/C concepts + 4 B/C-only Redfin proxies linked to A HMDA anchors + 13 A-only support/audit concepts. Filter on row 5.</x:v>
      </x:c>
    </x:row>
    <x:row r="3" ht="26" customHeight="1">
      <x:c r="A3" s="241" t="str">
        <x:v>Status note: 16 monthly canonical concepts are intentionally null; they are implemented as explicit-null contracts. “Materially different” uses rtol 1e-12 and atol 1e-9 on overlapping populated B/C rows.</x:v>
      </x:c>
      <x:c r="B3" s="241" t="str">
        <x:v>Status note: 16 monthly canonical concepts are intentionally null; they are implemented as explicit-null contracts. “Materially different” uses rtol 1e-12 and atol 1e-9 on overlapping populated B/C rows.</x:v>
      </x:c>
      <x:c r="C3" s="241" t="str">
        <x:v>Status note: 16 monthly canonical concepts are intentionally null; they are implemented as explicit-null contracts. “Materially different” uses rtol 1e-12 and atol 1e-9 on overlapping populated B/C rows.</x:v>
      </x:c>
      <x:c r="D3" s="241" t="str">
        <x:v>Status note: 16 monthly canonical concepts are intentionally null; they are implemented as explicit-null contracts. “Materially different” uses rtol 1e-12 and atol 1e-9 on overlapping populated B/C rows.</x:v>
      </x:c>
      <x:c r="E3" s="241" t="str">
        <x:v>Status note: 16 monthly canonical concepts are intentionally null; they are implemented as explicit-null contracts. “Materially different” uses rtol 1e-12 and atol 1e-9 on overlapping populated B/C rows.</x:v>
      </x:c>
      <x:c r="F3" s="241" t="str">
        <x:v>Status note: 16 monthly canonical concepts are intentionally null; they are implemented as explicit-null contracts. “Materially different” uses rtol 1e-12 and atol 1e-9 on overlapping populated B/C rows.</x:v>
      </x:c>
      <x:c r="G3" s="241" t="str">
        <x:v>Status note: 16 monthly canonical concepts are intentionally null; they are implemented as explicit-null contracts. “Materially different” uses rtol 1e-12 and atol 1e-9 on overlapping populated B/C rows.</x:v>
      </x:c>
      <x:c r="H3" s="241" t="str">
        <x:v>Status note: 16 monthly canonical concepts are intentionally null; they are implemented as explicit-null contracts. “Materially different” uses rtol 1e-12 and atol 1e-9 on overlapping populated B/C rows.</x:v>
      </x:c>
      <x:c r="I3" s="241" t="str">
        <x:v>Status note: 16 monthly canonical concepts are intentionally null; they are implemented as explicit-null contracts. “Materially different” uses rtol 1e-12 and atol 1e-9 on overlapping populated B/C rows.</x:v>
      </x:c>
      <x:c r="J3" s="241" t="str">
        <x:v>Status note: 16 monthly canonical concepts are intentionally null; they are implemented as explicit-null contracts. “Materially different” uses rtol 1e-12 and atol 1e-9 on overlapping populated B/C rows.</x:v>
      </x:c>
      <x:c r="K3" s="241" t="str">
        <x:v>Status note: 16 monthly canonical concepts are intentionally null; they are implemented as explicit-null contracts. “Materially different” uses rtol 1e-12 and atol 1e-9 on overlapping populated B/C rows.</x:v>
      </x:c>
      <x:c r="L3" s="241" t="str">
        <x:v>Status note: 16 monthly canonical concepts are intentionally null; they are implemented as explicit-null contracts. “Materially different” uses rtol 1e-12 and atol 1e-9 on overlapping populated B/C rows.</x:v>
      </x:c>
      <x:c r="M3" s="241" t="str">
        <x:v>Status note: 16 monthly canonical concepts are intentionally null; they are implemented as explicit-null contracts. “Materially different” uses rtol 1e-12 and atol 1e-9 on overlapping populated B/C rows.</x:v>
      </x:c>
      <x:c r="N3" s="241" t="str">
        <x:v>Status note: 16 monthly canonical concepts are intentionally null; they are implemented as explicit-null contracts. “Materially different” uses rtol 1e-12 and atol 1e-9 on overlapping populated B/C rows.</x:v>
      </x:c>
      <x:c r="O3" s="241" t="str">
        <x:v>Status note: 16 monthly canonical concepts are intentionally null; they are implemented as explicit-null contracts. “Materially different” uses rtol 1e-12 and atol 1e-9 on overlapping populated B/C rows.</x:v>
      </x:c>
      <x:c r="P3" s="241" t="str">
        <x:v>Status note: 16 monthly canonical concepts are intentionally null; they are implemented as explicit-null contracts. “Materially different” uses rtol 1e-12 and atol 1e-9 on overlapping populated B/C rows.</x:v>
      </x:c>
      <x:c r="Q3" s="241" t="str">
        <x:v>Status note: 16 monthly canonical concepts are intentionally null; they are implemented as explicit-null contracts. “Materially different” uses rtol 1e-12 and atol 1e-9 on overlapping populated B/C rows.</x:v>
      </x:c>
      <x:c r="R3" s="241" t="str">
        <x:v>Status note: 16 monthly canonical concepts are intentionally null; they are implemented as explicit-null contracts. “Materially different” uses rtol 1e-12 and atol 1e-9 on overlapping populated B/C rows.</x:v>
      </x:c>
      <x:c r="S3" s="241" t="str">
        <x:v>Status note: 16 monthly canonical concepts are intentionally null; they are implemented as explicit-null contracts. “Materially different” uses rtol 1e-12 and atol 1e-9 on overlapping populated B/C rows.</x:v>
      </x:c>
      <x:c r="T3" s="241" t="str">
        <x:v>Status note: 16 monthly canonical concepts are intentionally null; they are implemented as explicit-null contracts. “Materially different” uses rtol 1e-12 and atol 1e-9 on overlapping populated B/C rows.</x:v>
      </x:c>
      <x:c r="U3" s="241" t="str">
        <x:v>Status note: 16 monthly canonical concepts are intentionally null; they are implemented as explicit-null contracts. “Materially different” uses rtol 1e-12 and atol 1e-9 on overlapping populated B/C rows.</x:v>
      </x:c>
      <x:c r="V3" s="241" t="str">
        <x:v>Status note: 16 monthly canonical concepts are intentionally null; they are implemented as explicit-null contracts. “Materially different” uses rtol 1e-12 and atol 1e-9 on overlapping populated B/C rows.</x:v>
      </x:c>
      <x:c r="W3" s="241" t="str">
        <x:v>Status note: 16 monthly canonical concepts are intentionally null; they are implemented as explicit-null contracts. “Materially different” uses rtol 1e-12 and atol 1e-9 on overlapping populated B/C rows.</x:v>
      </x:c>
      <x:c r="X3" s="241" t="str">
        <x:v>Status note: 16 monthly canonical concepts are intentionally null; they are implemented as explicit-null contracts. “Materially different” uses rtol 1e-12 and atol 1e-9 on overlapping populated B/C rows.</x:v>
      </x:c>
      <x:c r="Y3" s="241" t="str">
        <x:v>Status note: 16 monthly canonical concepts are intentionally null; they are implemented as explicit-null contracts. “Materially different” uses rtol 1e-12 and atol 1e-9 on overlapping populated B/C rows.</x:v>
      </x:c>
      <x:c r="Z3" s="241" t="str">
        <x:v>Status note: 16 monthly canonical concepts are intentionally null; they are implemented as explicit-null contracts. “Materially different” uses rtol 1e-12 and atol 1e-9 on overlapping populated B/C rows.</x:v>
      </x:c>
      <x:c r="AA3" s="241" t="str">
        <x:v>Status note: 16 monthly canonical concepts are intentionally null; they are implemented as explicit-null contracts. “Materially different” uses rtol 1e-12 and atol 1e-9 on overlapping populated B/C rows.</x:v>
      </x:c>
    </x:row>
    <x:row r="4">
      <x:c r="A4" s="97" t="str">
        <x:v>Concept / classification</x:v>
      </x:c>
      <x:c r="B4" s="97" t="str">
        <x:v>Concept / classification</x:v>
      </x:c>
      <x:c r="C4" s="97" t="str">
        <x:v>Concept / classification</x:v>
      </x:c>
      <x:c r="D4" s="97" t="str">
        <x:v>Concept / classification</x:v>
      </x:c>
      <x:c r="E4" s="12" t="str">
        <x:v>Version A — source-faithful benchmark</x:v>
      </x:c>
      <x:c r="F4" s="12" t="str">
        <x:v>Version A — source-faithful benchmark</x:v>
      </x:c>
      <x:c r="G4" s="12" t="str">
        <x:v>Version A — source-faithful benchmark</x:v>
      </x:c>
      <x:c r="H4" s="12" t="str">
        <x:v>Version A — source-faithful benchmark</x:v>
      </x:c>
      <x:c r="I4" s="12" t="str">
        <x:v>Version A — source-faithful benchmark</x:v>
      </x:c>
      <x:c r="J4" s="34" t="str">
        <x:v>Version B — retrospective monthly</x:v>
      </x:c>
      <x:c r="K4" s="34" t="str">
        <x:v>Version B — retrospective monthly</x:v>
      </x:c>
      <x:c r="L4" s="34" t="str">
        <x:v>Version B — retrospective monthly</x:v>
      </x:c>
      <x:c r="M4" s="34" t="str">
        <x:v>Version B — retrospective monthly</x:v>
      </x:c>
      <x:c r="N4" s="34" t="str">
        <x:v>Version B — retrospective monthly</x:v>
      </x:c>
      <x:c r="O4" s="55" t="str">
        <x:v>Version C — real-time monthly vintage</x:v>
      </x:c>
      <x:c r="P4" s="55" t="str">
        <x:v>Version C — real-time monthly vintage</x:v>
      </x:c>
      <x:c r="Q4" s="55" t="str">
        <x:v>Version C — real-time monthly vintage</x:v>
      </x:c>
      <x:c r="R4" s="55" t="str">
        <x:v>Version C — real-time monthly vintage</x:v>
      </x:c>
      <x:c r="S4" s="55" t="str">
        <x:v>Version C — real-time monthly vintage</x:v>
      </x:c>
      <x:c r="T4" s="76" t="str">
        <x:v>Cross-version comparison</x:v>
      </x:c>
      <x:c r="U4" s="76" t="str">
        <x:v>Cross-version comparison</x:v>
      </x:c>
      <x:c r="V4" s="76" t="str">
        <x:v>Cross-version comparison</x:v>
      </x:c>
      <x:c r="W4" s="76" t="str">
        <x:v>Cross-version comparison</x:v>
      </x:c>
      <x:c r="X4" s="76" t="str">
        <x:v>Cross-version comparison</x:v>
      </x:c>
      <x:c r="Y4" s="76" t="str">
        <x:v>Cross-version comparison</x:v>
      </x:c>
      <x:c r="Z4" s="76" t="str">
        <x:v>Cross-version comparison</x:v>
      </x:c>
      <x:c r="AA4" s="76" t="str">
        <x:v>Cross-version comparison</x:v>
      </x:c>
    </x:row>
    <x:row r="5" ht="46" customHeight="1">
      <x:c r="A5" s="121" t="str">
        <x:v>Base concept</x:v>
      </x:c>
      <x:c r="B5" s="121" t="str">
        <x:v>Display name</x:v>
      </x:c>
      <x:c r="C5" s="121" t="str">
        <x:v>Category</x:v>
      </x:c>
      <x:c r="D5" s="121" t="str">
        <x:v>Scope</x:v>
      </x:c>
      <x:c r="E5" s="158" t="str">
        <x:v>Version A ID / anchor</x:v>
      </x:c>
      <x:c r="F5" s="158" t="str">
        <x:v>A unit</x:v>
      </x:c>
      <x:c r="G5" s="158" t="str">
        <x:v>A frequency</x:v>
      </x:c>
      <x:c r="H5" s="158" t="str">
        <x:v>A method / role</x:v>
      </x:c>
      <x:c r="I5" s="158" t="str">
        <x:v>A actual output</x:v>
      </x:c>
      <x:c r="J5" s="188" t="str">
        <x:v>Version B ID</x:v>
      </x:c>
      <x:c r="K5" s="188" t="str">
        <x:v>B unit / configured status</x:v>
      </x:c>
      <x:c r="L5" s="188" t="str">
        <x:v>B transformation</x:v>
      </x:c>
      <x:c r="M5" s="188" t="str">
        <x:v>B formula</x:v>
      </x:c>
      <x:c r="N5" s="188" t="str">
        <x:v>B actual output</x:v>
      </x:c>
      <x:c r="O5" s="246" t="str">
        <x:v>Version C ID</x:v>
      </x:c>
      <x:c r="P5" s="246" t="str">
        <x:v>C unit / configured status</x:v>
      </x:c>
      <x:c r="Q5" s="246" t="str">
        <x:v>C transformation</x:v>
      </x:c>
      <x:c r="R5" s="246" t="str">
        <x:v>C formula</x:v>
      </x:c>
      <x:c r="S5" s="246" t="str">
        <x:v>C actual output</x:v>
      </x:c>
      <x:c r="T5" s="251" t="str">
        <x:v>A → monthly difference</x:v>
      </x:c>
      <x:c r="U5" s="251" t="str">
        <x:v>B → C difference</x:v>
      </x:c>
      <x:c r="V5" s="251" t="str">
        <x:v>Observed B/C overlap</x:v>
      </x:c>
      <x:c r="W5" s="251" t="str">
        <x:v>Materially different rows</x:v>
      </x:c>
      <x:c r="X5" s="251" t="str">
        <x:v>Equal populated rows</x:v>
      </x:c>
      <x:c r="Y5" s="251" t="str">
        <x:v>One-null rows</x:v>
      </x:c>
      <x:c r="Z5" s="251" t="str">
        <x:v>Both-null rows</x:v>
      </x:c>
      <x:c r="AA5" s="251" t="str">
        <x:v>Interpretation / limitation</x:v>
      </x:c>
    </x:row>
    <x:row r="6" ht="78" customHeight="1">
      <x:c r="A6" s="254" t="str">
        <x:v>acs_total_population</x:v>
      </x:c>
      <x:c r="B6" s="254" t="str">
        <x:v>ACS total population</x:v>
      </x:c>
      <x:c r="C6" s="259" t="str">
        <x:v>A-only ACS supporting benchmark</x:v>
      </x:c>
      <x:c r="D6" s="259" t="str">
        <x:v>A only</x:v>
      </x:c>
      <x:c r="E6" s="254" t="str">
        <x:v>acs_total_population_benchmark</x:v>
      </x:c>
      <x:c r="F6" s="254" t="str">
        <x:v>persons</x:v>
      </x:c>
      <x:c r="G6" s="254" t="str">
        <x:v>ACS 5-year -&gt; ACS 5-year</x:v>
      </x:c>
      <x:c r="H6" s="254" t="str">
        <x:v>direct estimate and published 90% MOE</x:v>
      </x:c>
      <x:c r="I6" s="254" t="str">
        <x:v>Fully populated
58 rows
58 non-null
Reference 2022-07-01; source period 2020-01-01 to 2024-12-31</x:v>
      </x:c>
      <x:c r="J6" s="254" t="str">
        <x:v>N/A — retained only in Version A</x:v>
      </x:c>
      <x:c r="K6" s="254" t="str">
        <x:v>—</x:v>
      </x:c>
      <x:c r="L6" s="254" t="str">
        <x:v>—</x:v>
      </x:c>
      <x:c r="M6" s="254" t="str">
        <x:v>—</x:v>
      </x:c>
      <x:c r="N6" s="254" t="str">
        <x:v>N/A — A-only support</x:v>
      </x:c>
      <x:c r="O6" s="254" t="str">
        <x:v>N/A — retained only in Version A</x:v>
      </x:c>
      <x:c r="P6" s="254" t="str">
        <x:v>—</x:v>
      </x:c>
      <x:c r="Q6" s="254" t="str">
        <x:v>—</x:v>
      </x:c>
      <x:c r="R6" s="254" t="str">
        <x:v>—</x:v>
      </x:c>
      <x:c r="S6" s="254" t="str">
        <x:v>N/A — A-only support</x:v>
      </x:c>
      <x:c r="T6" s="254" t="str">
        <x:v>A-only source-faithful support or audit concept; no direct monthly B/C output ID.</x:v>
      </x:c>
      <x:c r="U6" s="254" t="str">
        <x:v>Not applicable: this concept is retained only in the benchmark/support layer.</x:v>
      </x:c>
      <x:c r="V6" s="254" t="str">
        <x:v>No B/C comparable rows</x:v>
      </x:c>
      <x:c r="W6" s="257" t="n">
        <x:v>0</x:v>
      </x:c>
      <x:c r="X6" s="257" t="n">
        <x:v>0</x:v>
      </x:c>
      <x:c r="Y6" s="257" t="n">
        <x:v>0</x:v>
      </x:c>
      <x:c r="Z6" s="257" t="n">
        <x:v>0</x:v>
      </x:c>
      <x:c r="AA6" s="254" t="str">
        <x:v>Used as a denominator, value/income anchor, payment component, or audit parameter rather than promoted as a monthly target.</x:v>
      </x:c>
    </x:row>
    <x:row r="7" ht="78" customHeight="1">
      <x:c r="A7" s="254" t="str">
        <x:v>acs_aggregate_selected_monthly_owner_costs_mortgaged</x:v>
      </x:c>
      <x:c r="B7" s="254" t="str">
        <x:v>ACS aggregate selected monthly owner costs - mortgaged owners</x:v>
      </x:c>
      <x:c r="C7" s="259" t="str">
        <x:v>A-only ACS supporting benchmark</x:v>
      </x:c>
      <x:c r="D7" s="259" t="str">
        <x:v>A only</x:v>
      </x:c>
      <x:c r="E7" s="254" t="str">
        <x:v>acs_aggregate_selected_monthly_owner_costs_mortgaged_benchmark</x:v>
      </x:c>
      <x:c r="F7" s="254" t="str">
        <x:v>dollars_per_month</x:v>
      </x:c>
      <x:c r="G7" s="254" t="str">
        <x:v>ACS 5-year -&gt; ACS 5-year</x:v>
      </x:c>
      <x:c r="H7" s="254" t="str">
        <x:v>direct estimate and published 90% MOE</x:v>
      </x:c>
      <x:c r="I7" s="254" t="str">
        <x:v>Fully populated
58 rows
58 non-null
Reference 2022-07-01; source period 2020-01-01 to 2024-12-31</x:v>
      </x:c>
      <x:c r="J7" s="254" t="str">
        <x:v>N/A — retained only in Version A</x:v>
      </x:c>
      <x:c r="K7" s="254" t="str">
        <x:v>—</x:v>
      </x:c>
      <x:c r="L7" s="254" t="str">
        <x:v>—</x:v>
      </x:c>
      <x:c r="M7" s="254" t="str">
        <x:v>—</x:v>
      </x:c>
      <x:c r="N7" s="254" t="str">
        <x:v>N/A — A-only support</x:v>
      </x:c>
      <x:c r="O7" s="254" t="str">
        <x:v>N/A — retained only in Version A</x:v>
      </x:c>
      <x:c r="P7" s="254" t="str">
        <x:v>—</x:v>
      </x:c>
      <x:c r="Q7" s="254" t="str">
        <x:v>—</x:v>
      </x:c>
      <x:c r="R7" s="254" t="str">
        <x:v>—</x:v>
      </x:c>
      <x:c r="S7" s="254" t="str">
        <x:v>N/A — A-only support</x:v>
      </x:c>
      <x:c r="T7" s="254" t="str">
        <x:v>A-only source-faithful support or audit concept; no direct monthly B/C output ID.</x:v>
      </x:c>
      <x:c r="U7" s="254" t="str">
        <x:v>Not applicable: this concept is retained only in the benchmark/support layer.</x:v>
      </x:c>
      <x:c r="V7" s="254" t="str">
        <x:v>No B/C comparable rows</x:v>
      </x:c>
      <x:c r="W7" s="257" t="n">
        <x:v>0</x:v>
      </x:c>
      <x:c r="X7" s="257" t="n">
        <x:v>0</x:v>
      </x:c>
      <x:c r="Y7" s="257" t="n">
        <x:v>0</x:v>
      </x:c>
      <x:c r="Z7" s="257" t="n">
        <x:v>0</x:v>
      </x:c>
      <x:c r="AA7" s="254" t="str">
        <x:v>Used as a denominator, value/income anchor, payment component, or audit parameter rather than promoted as a monthly target.</x:v>
      </x:c>
    </x:row>
    <x:row r="8" ht="78" customHeight="1">
      <x:c r="A8" s="254" t="str">
        <x:v>acs_owner_occupied_units</x:v>
      </x:c>
      <x:c r="B8" s="254" t="str">
        <x:v>ACS owner-occupied units</x:v>
      </x:c>
      <x:c r="C8" s="259" t="str">
        <x:v>A-only ACS supporting benchmark</x:v>
      </x:c>
      <x:c r="D8" s="259" t="str">
        <x:v>A only</x:v>
      </x:c>
      <x:c r="E8" s="254" t="str">
        <x:v>acs_owner_occupied_units_benchmark</x:v>
      </x:c>
      <x:c r="F8" s="254" t="str">
        <x:v>housing_units</x:v>
      </x:c>
      <x:c r="G8" s="254" t="str">
        <x:v>ACS 5-year -&gt; ACS 5-year</x:v>
      </x:c>
      <x:c r="H8" s="254" t="str">
        <x:v>direct estimate and published 90% MOE</x:v>
      </x:c>
      <x:c r="I8" s="254" t="str">
        <x:v>Fully populated
58 rows
58 non-null
Reference 2022-07-01; source period 2020-01-01 to 2024-12-31</x:v>
      </x:c>
      <x:c r="J8" s="254" t="str">
        <x:v>N/A — retained only in Version A</x:v>
      </x:c>
      <x:c r="K8" s="254" t="str">
        <x:v>—</x:v>
      </x:c>
      <x:c r="L8" s="254" t="str">
        <x:v>—</x:v>
      </x:c>
      <x:c r="M8" s="254" t="str">
        <x:v>—</x:v>
      </x:c>
      <x:c r="N8" s="254" t="str">
        <x:v>N/A — A-only support</x:v>
      </x:c>
      <x:c r="O8" s="254" t="str">
        <x:v>N/A — retained only in Version A</x:v>
      </x:c>
      <x:c r="P8" s="254" t="str">
        <x:v>—</x:v>
      </x:c>
      <x:c r="Q8" s="254" t="str">
        <x:v>—</x:v>
      </x:c>
      <x:c r="R8" s="254" t="str">
        <x:v>—</x:v>
      </x:c>
      <x:c r="S8" s="254" t="str">
        <x:v>N/A — A-only support</x:v>
      </x:c>
      <x:c r="T8" s="254" t="str">
        <x:v>A-only source-faithful support or audit concept; no direct monthly B/C output ID.</x:v>
      </x:c>
      <x:c r="U8" s="254" t="str">
        <x:v>Not applicable: this concept is retained only in the benchmark/support layer.</x:v>
      </x:c>
      <x:c r="V8" s="254" t="str">
        <x:v>No B/C comparable rows</x:v>
      </x:c>
      <x:c r="W8" s="257" t="n">
        <x:v>0</x:v>
      </x:c>
      <x:c r="X8" s="257" t="n">
        <x:v>0</x:v>
      </x:c>
      <x:c r="Y8" s="257" t="n">
        <x:v>0</x:v>
      </x:c>
      <x:c r="Z8" s="257" t="n">
        <x:v>0</x:v>
      </x:c>
      <x:c r="AA8" s="254" t="str">
        <x:v>Used as a denominator, value/income anchor, payment component, or audit parameter rather than promoted as a monthly target.</x:v>
      </x:c>
    </x:row>
    <x:row r="9" ht="78" customHeight="1">
      <x:c r="A9" s="254" t="str">
        <x:v>acs_mortgaged_owner_units</x:v>
      </x:c>
      <x:c r="B9" s="254" t="str">
        <x:v>ACS mortgaged owner units</x:v>
      </x:c>
      <x:c r="C9" s="259" t="str">
        <x:v>A-only ACS supporting benchmark</x:v>
      </x:c>
      <x:c r="D9" s="259" t="str">
        <x:v>A only</x:v>
      </x:c>
      <x:c r="E9" s="254" t="str">
        <x:v>acs_mortgaged_owner_units_benchmark</x:v>
      </x:c>
      <x:c r="F9" s="254" t="str">
        <x:v>housing_units</x:v>
      </x:c>
      <x:c r="G9" s="254" t="str">
        <x:v>ACS 5-year -&gt; ACS 5-year</x:v>
      </x:c>
      <x:c r="H9" s="254" t="str">
        <x:v>direct estimate and published 90% MOE</x:v>
      </x:c>
      <x:c r="I9" s="254" t="str">
        <x:v>Fully populated
58 rows
58 non-null
Reference 2022-07-01; source period 2020-01-01 to 2024-12-31</x:v>
      </x:c>
      <x:c r="J9" s="254" t="str">
        <x:v>N/A — retained only in Version A</x:v>
      </x:c>
      <x:c r="K9" s="254" t="str">
        <x:v>—</x:v>
      </x:c>
      <x:c r="L9" s="254" t="str">
        <x:v>—</x:v>
      </x:c>
      <x:c r="M9" s="254" t="str">
        <x:v>—</x:v>
      </x:c>
      <x:c r="N9" s="254" t="str">
        <x:v>N/A — A-only support</x:v>
      </x:c>
      <x:c r="O9" s="254" t="str">
        <x:v>N/A — retained only in Version A</x:v>
      </x:c>
      <x:c r="P9" s="254" t="str">
        <x:v>—</x:v>
      </x:c>
      <x:c r="Q9" s="254" t="str">
        <x:v>—</x:v>
      </x:c>
      <x:c r="R9" s="254" t="str">
        <x:v>—</x:v>
      </x:c>
      <x:c r="S9" s="254" t="str">
        <x:v>N/A — A-only support</x:v>
      </x:c>
      <x:c r="T9" s="254" t="str">
        <x:v>A-only source-faithful support or audit concept; no direct monthly B/C output ID.</x:v>
      </x:c>
      <x:c r="U9" s="254" t="str">
        <x:v>Not applicable: this concept is retained only in the benchmark/support layer.</x:v>
      </x:c>
      <x:c r="V9" s="254" t="str">
        <x:v>No B/C comparable rows</x:v>
      </x:c>
      <x:c r="W9" s="257" t="n">
        <x:v>0</x:v>
      </x:c>
      <x:c r="X9" s="257" t="n">
        <x:v>0</x:v>
      </x:c>
      <x:c r="Y9" s="257" t="n">
        <x:v>0</x:v>
      </x:c>
      <x:c r="Z9" s="257" t="n">
        <x:v>0</x:v>
      </x:c>
      <x:c r="AA9" s="254" t="str">
        <x:v>Used as a denominator, value/income anchor, payment component, or audit parameter rather than promoted as a monthly target.</x:v>
      </x:c>
    </x:row>
    <x:row r="10" ht="78" customHeight="1">
      <x:c r="A10" s="254" t="str">
        <x:v>acs_aggregate_owner_value_all</x:v>
      </x:c>
      <x:c r="B10" s="254" t="str">
        <x:v>ACS aggregate owner value - all owners</x:v>
      </x:c>
      <x:c r="C10" s="259" t="str">
        <x:v>A-only ACS supporting benchmark</x:v>
      </x:c>
      <x:c r="D10" s="259" t="str">
        <x:v>A only</x:v>
      </x:c>
      <x:c r="E10" s="254" t="str">
        <x:v>acs_aggregate_owner_value_all_benchmark</x:v>
      </x:c>
      <x:c r="F10" s="254" t="str">
        <x:v>USD</x:v>
      </x:c>
      <x:c r="G10" s="254" t="str">
        <x:v>ACS 5-year -&gt; ACS 5-year</x:v>
      </x:c>
      <x:c r="H10" s="254" t="str">
        <x:v>direct estimate and published 90% MOE</x:v>
      </x:c>
      <x:c r="I10" s="254" t="str">
        <x:v>Fully populated
58 rows
58 non-null
Reference 2022-07-01; source period 2020-01-01 to 2024-12-31</x:v>
      </x:c>
      <x:c r="J10" s="254" t="str">
        <x:v>N/A — retained only in Version A</x:v>
      </x:c>
      <x:c r="K10" s="254" t="str">
        <x:v>—</x:v>
      </x:c>
      <x:c r="L10" s="254" t="str">
        <x:v>—</x:v>
      </x:c>
      <x:c r="M10" s="254" t="str">
        <x:v>—</x:v>
      </x:c>
      <x:c r="N10" s="254" t="str">
        <x:v>N/A — A-only support</x:v>
      </x:c>
      <x:c r="O10" s="254" t="str">
        <x:v>N/A — retained only in Version A</x:v>
      </x:c>
      <x:c r="P10" s="254" t="str">
        <x:v>—</x:v>
      </x:c>
      <x:c r="Q10" s="254" t="str">
        <x:v>—</x:v>
      </x:c>
      <x:c r="R10" s="254" t="str">
        <x:v>—</x:v>
      </x:c>
      <x:c r="S10" s="254" t="str">
        <x:v>N/A — A-only support</x:v>
      </x:c>
      <x:c r="T10" s="254" t="str">
        <x:v>A-only source-faithful support or audit concept; no direct monthly B/C output ID.</x:v>
      </x:c>
      <x:c r="U10" s="254" t="str">
        <x:v>Not applicable: this concept is retained only in the benchmark/support layer.</x:v>
      </x:c>
      <x:c r="V10" s="254" t="str">
        <x:v>No B/C comparable rows</x:v>
      </x:c>
      <x:c r="W10" s="257" t="n">
        <x:v>0</x:v>
      </x:c>
      <x:c r="X10" s="257" t="n">
        <x:v>0</x:v>
      </x:c>
      <x:c r="Y10" s="257" t="n">
        <x:v>0</x:v>
      </x:c>
      <x:c r="Z10" s="257" t="n">
        <x:v>0</x:v>
      </x:c>
      <x:c r="AA10" s="254" t="str">
        <x:v>Used as a denominator, value/income anchor, payment component, or audit parameter rather than promoted as a monthly target.</x:v>
      </x:c>
    </x:row>
    <x:row r="11" ht="78" customHeight="1">
      <x:c r="A11" s="254" t="str">
        <x:v>acs_aggregate_owner_value_mortgaged</x:v>
      </x:c>
      <x:c r="B11" s="254" t="str">
        <x:v>ACS aggregate owner value - mortgaged owners</x:v>
      </x:c>
      <x:c r="C11" s="259" t="str">
        <x:v>A-only ACS supporting benchmark</x:v>
      </x:c>
      <x:c r="D11" s="259" t="str">
        <x:v>A only</x:v>
      </x:c>
      <x:c r="E11" s="254" t="str">
        <x:v>acs_aggregate_owner_value_mortgaged_benchmark</x:v>
      </x:c>
      <x:c r="F11" s="254" t="str">
        <x:v>USD</x:v>
      </x:c>
      <x:c r="G11" s="254" t="str">
        <x:v>ACS 5-year -&gt; ACS 5-year</x:v>
      </x:c>
      <x:c r="H11" s="254" t="str">
        <x:v>direct estimate and published 90% MOE</x:v>
      </x:c>
      <x:c r="I11" s="254" t="str">
        <x:v>Fully populated
58 rows
58 non-null
Reference 2022-07-01; source period 2020-01-01 to 2024-12-31</x:v>
      </x:c>
      <x:c r="J11" s="254" t="str">
        <x:v>N/A — retained only in Version A</x:v>
      </x:c>
      <x:c r="K11" s="254" t="str">
        <x:v>—</x:v>
      </x:c>
      <x:c r="L11" s="254" t="str">
        <x:v>—</x:v>
      </x:c>
      <x:c r="M11" s="254" t="str">
        <x:v>—</x:v>
      </x:c>
      <x:c r="N11" s="254" t="str">
        <x:v>N/A — A-only support</x:v>
      </x:c>
      <x:c r="O11" s="254" t="str">
        <x:v>N/A — retained only in Version A</x:v>
      </x:c>
      <x:c r="P11" s="254" t="str">
        <x:v>—</x:v>
      </x:c>
      <x:c r="Q11" s="254" t="str">
        <x:v>—</x:v>
      </x:c>
      <x:c r="R11" s="254" t="str">
        <x:v>—</x:v>
      </x:c>
      <x:c r="S11" s="254" t="str">
        <x:v>N/A — A-only support</x:v>
      </x:c>
      <x:c r="T11" s="254" t="str">
        <x:v>A-only source-faithful support or audit concept; no direct monthly B/C output ID.</x:v>
      </x:c>
      <x:c r="U11" s="254" t="str">
        <x:v>Not applicable: this concept is retained only in the benchmark/support layer.</x:v>
      </x:c>
      <x:c r="V11" s="254" t="str">
        <x:v>No B/C comparable rows</x:v>
      </x:c>
      <x:c r="W11" s="257" t="n">
        <x:v>0</x:v>
      </x:c>
      <x:c r="X11" s="257" t="n">
        <x:v>0</x:v>
      </x:c>
      <x:c r="Y11" s="257" t="n">
        <x:v>0</x:v>
      </x:c>
      <x:c r="Z11" s="257" t="n">
        <x:v>0</x:v>
      </x:c>
      <x:c r="AA11" s="254" t="str">
        <x:v>Used as a denominator, value/income anchor, payment component, or audit parameter rather than promoted as a monthly target.</x:v>
      </x:c>
    </x:row>
    <x:row r="12" ht="78" customHeight="1">
      <x:c r="A12" s="254" t="str">
        <x:v>acs_aggregate_owner_value_no_mortgage</x:v>
      </x:c>
      <x:c r="B12" s="254" t="str">
        <x:v>ACS aggregate owner value - mortgage-free owners</x:v>
      </x:c>
      <x:c r="C12" s="259" t="str">
        <x:v>A-only ACS supporting benchmark</x:v>
      </x:c>
      <x:c r="D12" s="259" t="str">
        <x:v>A only</x:v>
      </x:c>
      <x:c r="E12" s="254" t="str">
        <x:v>acs_aggregate_owner_value_no_mortgage_benchmark</x:v>
      </x:c>
      <x:c r="F12" s="254" t="str">
        <x:v>USD</x:v>
      </x:c>
      <x:c r="G12" s="254" t="str">
        <x:v>ACS 5-year -&gt; ACS 5-year</x:v>
      </x:c>
      <x:c r="H12" s="254" t="str">
        <x:v>direct estimate and published 90% MOE</x:v>
      </x:c>
      <x:c r="I12" s="254" t="str">
        <x:v>Fully populated
58 rows
58 non-null
Reference 2022-07-01; source period 2020-01-01 to 2024-12-31</x:v>
      </x:c>
      <x:c r="J12" s="254" t="str">
        <x:v>N/A — retained only in Version A</x:v>
      </x:c>
      <x:c r="K12" s="254" t="str">
        <x:v>—</x:v>
      </x:c>
      <x:c r="L12" s="254" t="str">
        <x:v>—</x:v>
      </x:c>
      <x:c r="M12" s="254" t="str">
        <x:v>—</x:v>
      </x:c>
      <x:c r="N12" s="254" t="str">
        <x:v>N/A — A-only support</x:v>
      </x:c>
      <x:c r="O12" s="254" t="str">
        <x:v>N/A — retained only in Version A</x:v>
      </x:c>
      <x:c r="P12" s="254" t="str">
        <x:v>—</x:v>
      </x:c>
      <x:c r="Q12" s="254" t="str">
        <x:v>—</x:v>
      </x:c>
      <x:c r="R12" s="254" t="str">
        <x:v>—</x:v>
      </x:c>
      <x:c r="S12" s="254" t="str">
        <x:v>N/A — A-only support</x:v>
      </x:c>
      <x:c r="T12" s="254" t="str">
        <x:v>A-only source-faithful support or audit concept; no direct monthly B/C output ID.</x:v>
      </x:c>
      <x:c r="U12" s="254" t="str">
        <x:v>Not applicable: this concept is retained only in the benchmark/support layer.</x:v>
      </x:c>
      <x:c r="V12" s="254" t="str">
        <x:v>No B/C comparable rows</x:v>
      </x:c>
      <x:c r="W12" s="257" t="n">
        <x:v>0</x:v>
      </x:c>
      <x:c r="X12" s="257" t="n">
        <x:v>0</x:v>
      </x:c>
      <x:c r="Y12" s="257" t="n">
        <x:v>0</x:v>
      </x:c>
      <x:c r="Z12" s="257" t="n">
        <x:v>0</x:v>
      </x:c>
      <x:c r="AA12" s="254" t="str">
        <x:v>Used as a denominator, value/income anchor, payment component, or audit parameter rather than promoted as a monthly target.</x:v>
      </x:c>
    </x:row>
    <x:row r="13" ht="78" customHeight="1">
      <x:c r="A13" s="254" t="str">
        <x:v>acs_aggregate_household_income_owner</x:v>
      </x:c>
      <x:c r="B13" s="254" t="str">
        <x:v>ACS aggregate household income - all owners</x:v>
      </x:c>
      <x:c r="C13" s="259" t="str">
        <x:v>A-only ACS supporting benchmark</x:v>
      </x:c>
      <x:c r="D13" s="259" t="str">
        <x:v>A only</x:v>
      </x:c>
      <x:c r="E13" s="254" t="str">
        <x:v>acs_aggregate_household_income_owner_benchmark</x:v>
      </x:c>
      <x:c r="F13" s="254" t="str">
        <x:v>inflation_adjusted_USD_per_year</x:v>
      </x:c>
      <x:c r="G13" s="254" t="str">
        <x:v>ACS 5-year -&gt; ACS 5-year</x:v>
      </x:c>
      <x:c r="H13" s="254" t="str">
        <x:v>direct estimate and published 90% MOE</x:v>
      </x:c>
      <x:c r="I13" s="254" t="str">
        <x:v>Fully populated
58 rows
58 non-null
Reference 2022-07-01; source period 2020-01-01 to 2024-12-31</x:v>
      </x:c>
      <x:c r="J13" s="254" t="str">
        <x:v>N/A — retained only in Version A</x:v>
      </x:c>
      <x:c r="K13" s="254" t="str">
        <x:v>—</x:v>
      </x:c>
      <x:c r="L13" s="254" t="str">
        <x:v>—</x:v>
      </x:c>
      <x:c r="M13" s="254" t="str">
        <x:v>—</x:v>
      </x:c>
      <x:c r="N13" s="254" t="str">
        <x:v>N/A — A-only support</x:v>
      </x:c>
      <x:c r="O13" s="254" t="str">
        <x:v>N/A — retained only in Version A</x:v>
      </x:c>
      <x:c r="P13" s="254" t="str">
        <x:v>—</x:v>
      </x:c>
      <x:c r="Q13" s="254" t="str">
        <x:v>—</x:v>
      </x:c>
      <x:c r="R13" s="254" t="str">
        <x:v>—</x:v>
      </x:c>
      <x:c r="S13" s="254" t="str">
        <x:v>N/A — A-only support</x:v>
      </x:c>
      <x:c r="T13" s="254" t="str">
        <x:v>A-only source-faithful support or audit concept; no direct monthly B/C output ID.</x:v>
      </x:c>
      <x:c r="U13" s="254" t="str">
        <x:v>Not applicable: this concept is retained only in the benchmark/support layer.</x:v>
      </x:c>
      <x:c r="V13" s="254" t="str">
        <x:v>No B/C comparable rows</x:v>
      </x:c>
      <x:c r="W13" s="257" t="n">
        <x:v>0</x:v>
      </x:c>
      <x:c r="X13" s="257" t="n">
        <x:v>0</x:v>
      </x:c>
      <x:c r="Y13" s="257" t="n">
        <x:v>0</x:v>
      </x:c>
      <x:c r="Z13" s="257" t="n">
        <x:v>0</x:v>
      </x:c>
      <x:c r="AA13" s="254" t="str">
        <x:v>Used as a denominator, value/income anchor, payment component, or audit parameter rather than promoted as a monthly target.</x:v>
      </x:c>
    </x:row>
    <x:row r="14" ht="78" customHeight="1">
      <x:c r="A14" s="254" t="str">
        <x:v>acs_aggregate_household_income_mortgaged_owner</x:v>
      </x:c>
      <x:c r="B14" s="254" t="str">
        <x:v>ACS aggregate household income - mortgaged owners</x:v>
      </x:c>
      <x:c r="C14" s="259" t="str">
        <x:v>A-only ACS supporting benchmark</x:v>
      </x:c>
      <x:c r="D14" s="259" t="str">
        <x:v>A only</x:v>
      </x:c>
      <x:c r="E14" s="254" t="str">
        <x:v>acs_aggregate_household_income_mortgaged_owner_benchmark</x:v>
      </x:c>
      <x:c r="F14" s="254" t="str">
        <x:v>inflation_adjusted_USD_per_year</x:v>
      </x:c>
      <x:c r="G14" s="254" t="str">
        <x:v>ACS 5-year -&gt; ACS 5-year</x:v>
      </x:c>
      <x:c r="H14" s="254" t="str">
        <x:v>direct estimate and published 90% MOE</x:v>
      </x:c>
      <x:c r="I14" s="254" t="str">
        <x:v>Fully populated
58 rows
58 non-null
Reference 2022-07-01; source period 2020-01-01 to 2024-12-31</x:v>
      </x:c>
      <x:c r="J14" s="254" t="str">
        <x:v>N/A — retained only in Version A</x:v>
      </x:c>
      <x:c r="K14" s="254" t="str">
        <x:v>—</x:v>
      </x:c>
      <x:c r="L14" s="254" t="str">
        <x:v>—</x:v>
      </x:c>
      <x:c r="M14" s="254" t="str">
        <x:v>—</x:v>
      </x:c>
      <x:c r="N14" s="254" t="str">
        <x:v>N/A — A-only support</x:v>
      </x:c>
      <x:c r="O14" s="254" t="str">
        <x:v>N/A — retained only in Version A</x:v>
      </x:c>
      <x:c r="P14" s="254" t="str">
        <x:v>—</x:v>
      </x:c>
      <x:c r="Q14" s="254" t="str">
        <x:v>—</x:v>
      </x:c>
      <x:c r="R14" s="254" t="str">
        <x:v>—</x:v>
      </x:c>
      <x:c r="S14" s="254" t="str">
        <x:v>N/A — A-only support</x:v>
      </x:c>
      <x:c r="T14" s="254" t="str">
        <x:v>A-only source-faithful support or audit concept; no direct monthly B/C output ID.</x:v>
      </x:c>
      <x:c r="U14" s="254" t="str">
        <x:v>Not applicable: this concept is retained only in the benchmark/support layer.</x:v>
      </x:c>
      <x:c r="V14" s="254" t="str">
        <x:v>No B/C comparable rows</x:v>
      </x:c>
      <x:c r="W14" s="257" t="n">
        <x:v>0</x:v>
      </x:c>
      <x:c r="X14" s="257" t="n">
        <x:v>0</x:v>
      </x:c>
      <x:c r="Y14" s="257" t="n">
        <x:v>0</x:v>
      </x:c>
      <x:c r="Z14" s="257" t="n">
        <x:v>0</x:v>
      </x:c>
      <x:c r="AA14" s="254" t="str">
        <x:v>Used as a denominator, value/income anchor, payment component, or audit parameter rather than promoted as a monthly target.</x:v>
      </x:c>
    </x:row>
    <x:row r="15" ht="78" customHeight="1">
      <x:c r="A15" s="254" t="str">
        <x:v>acs_aggregate_household_income_no_mortgage_owner</x:v>
      </x:c>
      <x:c r="B15" s="254" t="str">
        <x:v>ACS aggregate household income - mortgage-free owners</x:v>
      </x:c>
      <x:c r="C15" s="259" t="str">
        <x:v>A-only ACS supporting benchmark</x:v>
      </x:c>
      <x:c r="D15" s="259" t="str">
        <x:v>A only</x:v>
      </x:c>
      <x:c r="E15" s="254" t="str">
        <x:v>acs_aggregate_household_income_no_mortgage_owner_benchmark</x:v>
      </x:c>
      <x:c r="F15" s="254" t="str">
        <x:v>inflation_adjusted_USD_per_year</x:v>
      </x:c>
      <x:c r="G15" s="254" t="str">
        <x:v>ACS 5-year -&gt; ACS 5-year</x:v>
      </x:c>
      <x:c r="H15" s="254" t="str">
        <x:v>direct estimate and published 90% MOE</x:v>
      </x:c>
      <x:c r="I15" s="254" t="str">
        <x:v>Fully populated
58 rows
58 non-null
Reference 2022-07-01; source period 2020-01-01 to 2024-12-31</x:v>
      </x:c>
      <x:c r="J15" s="254" t="str">
        <x:v>N/A — retained only in Version A</x:v>
      </x:c>
      <x:c r="K15" s="254" t="str">
        <x:v>—</x:v>
      </x:c>
      <x:c r="L15" s="254" t="str">
        <x:v>—</x:v>
      </x:c>
      <x:c r="M15" s="254" t="str">
        <x:v>—</x:v>
      </x:c>
      <x:c r="N15" s="254" t="str">
        <x:v>N/A — A-only support</x:v>
      </x:c>
      <x:c r="O15" s="254" t="str">
        <x:v>N/A — retained only in Version A</x:v>
      </x:c>
      <x:c r="P15" s="254" t="str">
        <x:v>—</x:v>
      </x:c>
      <x:c r="Q15" s="254" t="str">
        <x:v>—</x:v>
      </x:c>
      <x:c r="R15" s="254" t="str">
        <x:v>—</x:v>
      </x:c>
      <x:c r="S15" s="254" t="str">
        <x:v>N/A — A-only support</x:v>
      </x:c>
      <x:c r="T15" s="254" t="str">
        <x:v>A-only source-faithful support or audit concept; no direct monthly B/C output ID.</x:v>
      </x:c>
      <x:c r="U15" s="254" t="str">
        <x:v>Not applicable: this concept is retained only in the benchmark/support layer.</x:v>
      </x:c>
      <x:c r="V15" s="254" t="str">
        <x:v>No B/C comparable rows</x:v>
      </x:c>
      <x:c r="W15" s="257" t="n">
        <x:v>0</x:v>
      </x:c>
      <x:c r="X15" s="257" t="n">
        <x:v>0</x:v>
      </x:c>
      <x:c r="Y15" s="257" t="n">
        <x:v>0</x:v>
      </x:c>
      <x:c r="Z15" s="257" t="n">
        <x:v>0</x:v>
      </x:c>
      <x:c r="AA15" s="254" t="str">
        <x:v>Used as a denominator, value/income anchor, payment component, or audit parameter rather than promoted as a monthly target.</x:v>
      </x:c>
    </x:row>
    <x:row r="16" ht="78" customHeight="1">
      <x:c r="A16" s="254" t="str">
        <x:v>pums_first_mortgage_pi_share</x:v>
      </x:c>
      <x:c r="B16" s="254" t="str">
        <x:v>PUMS first-mortgage P&amp;I share source</x:v>
      </x:c>
      <x:c r="C16" s="259" t="str">
        <x:v>A-only PUMS parameter/audit input</x:v>
      </x:c>
      <x:c r="D16" s="259" t="str">
        <x:v>A only</x:v>
      </x:c>
      <x:c r="E16" s="254" t="str">
        <x:v>pums_first_mortgage_pi_share_benchmark</x:v>
      </x:c>
      <x:c r="F16" s="254" t="str">
        <x:v>share</x:v>
      </x:c>
      <x:c r="G16" s="254" t="str">
        <x:v>ACS 5-year PUMS -&gt; ACS 5-year</x:v>
      </x:c>
      <x:c r="H16" s="254" t="str">
        <x:v>pooled record-level WGTP-weighted P&amp;I share with official SDR 90% MOE</x:v>
      </x:c>
      <x:c r="I16" s="254" t="str">
        <x:v>Fully populated
58 rows
58 non-null
Reference 2022-07-01; source period 2020-01-01 to 2024-12-31</x:v>
      </x:c>
      <x:c r="J16" s="254" t="str">
        <x:v>N/A — retained only in Version A</x:v>
      </x:c>
      <x:c r="K16" s="254" t="str">
        <x:v>—</x:v>
      </x:c>
      <x:c r="L16" s="254" t="str">
        <x:v>—</x:v>
      </x:c>
      <x:c r="M16" s="254" t="str">
        <x:v>—</x:v>
      </x:c>
      <x:c r="N16" s="254" t="str">
        <x:v>N/A — A-only support</x:v>
      </x:c>
      <x:c r="O16" s="254" t="str">
        <x:v>N/A — retained only in Version A</x:v>
      </x:c>
      <x:c r="P16" s="254" t="str">
        <x:v>—</x:v>
      </x:c>
      <x:c r="Q16" s="254" t="str">
        <x:v>—</x:v>
      </x:c>
      <x:c r="R16" s="254" t="str">
        <x:v>—</x:v>
      </x:c>
      <x:c r="S16" s="254" t="str">
        <x:v>N/A — A-only support</x:v>
      </x:c>
      <x:c r="T16" s="254" t="str">
        <x:v>A-only source-faithful support or audit concept; no direct monthly B/C output ID.</x:v>
      </x:c>
      <x:c r="U16" s="254" t="str">
        <x:v>Not applicable: this concept is retained only in the benchmark/support layer.</x:v>
      </x:c>
      <x:c r="V16" s="254" t="str">
        <x:v>No B/C comparable rows</x:v>
      </x:c>
      <x:c r="W16" s="257" t="n">
        <x:v>0</x:v>
      </x:c>
      <x:c r="X16" s="257" t="n">
        <x:v>0</x:v>
      </x:c>
      <x:c r="Y16" s="257" t="n">
        <x:v>0</x:v>
      </x:c>
      <x:c r="Z16" s="257" t="n">
        <x:v>0</x:v>
      </x:c>
      <x:c r="AA16" s="254" t="str">
        <x:v>Used as a denominator, value/income anchor, payment component, or audit parameter rather than promoted as a monthly target.</x:v>
      </x:c>
    </x:row>
    <x:row r="17" ht="78" customHeight="1">
      <x:c r="A17" s="254" t="str">
        <x:v>pums_first_mortgage_pi_share_applied</x:v>
      </x:c>
      <x:c r="B17" s="254" t="str">
        <x:v>Applied PUMS first-mortgage P&amp;I share</x:v>
      </x:c>
      <x:c r="C17" s="259" t="str">
        <x:v>A-only PUMS parameter/audit input</x:v>
      </x:c>
      <x:c r="D17" s="259" t="str">
        <x:v>A only</x:v>
      </x:c>
      <x:c r="E17" s="254" t="str">
        <x:v>pums_first_mortgage_pi_share_applied_benchmark</x:v>
      </x:c>
      <x:c r="F17" s="254" t="str">
        <x:v>ratio</x:v>
      </x:c>
      <x:c r="G17" s="254" t="str">
        <x:v>ACS 5-year PUMS -&gt; ACS 5-year</x:v>
      </x:c>
      <x:c r="H17" s="254" t="str">
        <x:v>record-level WGTP-pooled complete-case P&amp;I share with official SDR 90% MOE</x:v>
      </x:c>
      <x:c r="I17" s="254" t="str">
        <x:v>Fully populated
58 rows
58 non-null
Reference 2022-07-01; source period 2020-01-01 to 2024-12-31</x:v>
      </x:c>
      <x:c r="J17" s="254" t="str">
        <x:v>N/A — retained only in Version A</x:v>
      </x:c>
      <x:c r="K17" s="254" t="str">
        <x:v>—</x:v>
      </x:c>
      <x:c r="L17" s="254" t="str">
        <x:v>—</x:v>
      </x:c>
      <x:c r="M17" s="254" t="str">
        <x:v>—</x:v>
      </x:c>
      <x:c r="N17" s="254" t="str">
        <x:v>N/A — A-only support</x:v>
      </x:c>
      <x:c r="O17" s="254" t="str">
        <x:v>N/A — retained only in Version A</x:v>
      </x:c>
      <x:c r="P17" s="254" t="str">
        <x:v>—</x:v>
      </x:c>
      <x:c r="Q17" s="254" t="str">
        <x:v>—</x:v>
      </x:c>
      <x:c r="R17" s="254" t="str">
        <x:v>—</x:v>
      </x:c>
      <x:c r="S17" s="254" t="str">
        <x:v>N/A — A-only support</x:v>
      </x:c>
      <x:c r="T17" s="254" t="str">
        <x:v>A-only source-faithful support or audit concept; no direct monthly B/C output ID.</x:v>
      </x:c>
      <x:c r="U17" s="254" t="str">
        <x:v>Not applicable: this concept is retained only in the benchmark/support layer.</x:v>
      </x:c>
      <x:c r="V17" s="254" t="str">
        <x:v>No B/C comparable rows</x:v>
      </x:c>
      <x:c r="W17" s="257" t="n">
        <x:v>0</x:v>
      </x:c>
      <x:c r="X17" s="257" t="n">
        <x:v>0</x:v>
      </x:c>
      <x:c r="Y17" s="257" t="n">
        <x:v>0</x:v>
      </x:c>
      <x:c r="Z17" s="257" t="n">
        <x:v>0</x:v>
      </x:c>
      <x:c r="AA17" s="254" t="str">
        <x:v>Used as a denominator, value/income anchor, payment component, or audit parameter rather than promoted as a monthly target.</x:v>
      </x:c>
    </x:row>
    <x:row r="18" ht="78" customHeight="1">
      <x:c r="A18" s="254" t="str">
        <x:v>pums_junior_lien_payment_per_mortgaged_unit</x:v>
      </x:c>
      <x:c r="B18" s="254" t="str">
        <x:v>PUMS junior-lien monthly payment per mortgaged unit</x:v>
      </x:c>
      <x:c r="C18" s="259" t="str">
        <x:v>A-only PUMS parameter/audit input</x:v>
      </x:c>
      <x:c r="D18" s="259" t="str">
        <x:v>A only</x:v>
      </x:c>
      <x:c r="E18" s="254" t="str">
        <x:v>pums_junior_lien_payment_per_mortgaged_unit_benchmark</x:v>
      </x:c>
      <x:c r="F18" s="254" t="str">
        <x:v>USD/unit/month</x:v>
      </x:c>
      <x:c r="G18" s="254" t="str">
        <x:v>ACS 5-year PUMS -&gt; ACS 5-year</x:v>
      </x:c>
      <x:c r="H18" s="254" t="str">
        <x:v>record-level WGTP-weighted mean with official SDR 90% MOE and codebook-defined blank SMP as structural zero</x:v>
      </x:c>
      <x:c r="I18" s="254" t="str">
        <x:v>Fully populated
58 rows
58 non-null
Reference 2022-07-01; source period 2020-01-01 to 2024-12-31</x:v>
      </x:c>
      <x:c r="J18" s="254" t="str">
        <x:v>N/A — retained only in Version A</x:v>
      </x:c>
      <x:c r="K18" s="254" t="str">
        <x:v>—</x:v>
      </x:c>
      <x:c r="L18" s="254" t="str">
        <x:v>—</x:v>
      </x:c>
      <x:c r="M18" s="254" t="str">
        <x:v>—</x:v>
      </x:c>
      <x:c r="N18" s="254" t="str">
        <x:v>N/A — A-only support</x:v>
      </x:c>
      <x:c r="O18" s="254" t="str">
        <x:v>N/A — retained only in Version A</x:v>
      </x:c>
      <x:c r="P18" s="254" t="str">
        <x:v>—</x:v>
      </x:c>
      <x:c r="Q18" s="254" t="str">
        <x:v>—</x:v>
      </x:c>
      <x:c r="R18" s="254" t="str">
        <x:v>—</x:v>
      </x:c>
      <x:c r="S18" s="254" t="str">
        <x:v>N/A — A-only support</x:v>
      </x:c>
      <x:c r="T18" s="254" t="str">
        <x:v>A-only source-faithful support or audit concept; no direct monthly B/C output ID.</x:v>
      </x:c>
      <x:c r="U18" s="254" t="str">
        <x:v>Not applicable: this concept is retained only in the benchmark/support layer.</x:v>
      </x:c>
      <x:c r="V18" s="254" t="str">
        <x:v>No B/C comparable rows</x:v>
      </x:c>
      <x:c r="W18" s="257" t="n">
        <x:v>0</x:v>
      </x:c>
      <x:c r="X18" s="257" t="n">
        <x:v>0</x:v>
      </x:c>
      <x:c r="Y18" s="257" t="n">
        <x:v>0</x:v>
      </x:c>
      <x:c r="Z18" s="257" t="n">
        <x:v>0</x:v>
      </x:c>
      <x:c r="AA18" s="254" t="str">
        <x:v>Used as a denominator, value/income anchor, payment component, or audit parameter rather than promoted as a monthly target.</x:v>
      </x:c>
    </x:row>
    <x:row r="19" ht="78" customHeight="1">
      <x:c r="A19" s="254" t="str">
        <x:v>acs_estimated_aggregate_monthly_first_mortgage_pi</x:v>
      </x:c>
      <x:c r="B19" s="254" t="str">
        <x:v>Estimated aggregate monthly first-mortgage P&amp;I</x:v>
      </x:c>
      <x:c r="C19" s="262" t="str">
        <x:v>Payment and debt-service controls</x:v>
      </x:c>
      <x:c r="D19" s="260" t="str">
        <x:v>Shared A/B/C</x:v>
      </x:c>
      <x:c r="E19" s="254" t="str">
        <x:v>acs_estimated_aggregate_monthly_first_mortgage_pi_benchmark</x:v>
      </x:c>
      <x:c r="F19" s="254" t="str">
        <x:v>USD/month</x:v>
      </x:c>
      <x:c r="G19" s="254" t="str">
        <x:v>ACS 5-year -&gt; ACS 5-year</x:v>
      </x:c>
      <x:c r="H19" s="254" t="str">
        <x:v>source-period multiplication without monthly allocation</x:v>
      </x:c>
      <x:c r="I19" s="254" t="str">
        <x:v>Fully populated
58 rows
58 non-null
Reference 2022-07-01; source period 2020-01-01 to 2024-12-31</x:v>
      </x:c>
      <x:c r="J19" s="254" t="str">
        <x:v>acs_estimated_aggregate_monthly_first_mortgage_pi_monthly_hist</x:v>
      </x:c>
      <x:c r="K19" s="254" t="str">
        <x:v>USD/month
canonical_modeled_repeat</x:v>
      </x:c>
      <x:c r="L19" s="254" t="str">
        <x:v>version_b_reference_year_payment_repeat_v1</x:v>
      </x:c>
      <x:c r="M19" s="254" t="str">
        <x:v>Repeat each benchmark level in every month of its reference calendar year</x:v>
      </x:c>
      <x:c r="N19" s="254" t="str">
        <x:v>Fully populated
696 rows
696 non-null
2022-01-31 to 2022-12-31</x:v>
      </x:c>
      <x:c r="O19" s="254" t="str">
        <x:v>acs_estimated_aggregate_monthly_first_mortgage_pi_monthly_rt</x:v>
      </x:c>
      <x:c r="P19" s="254" t="str">
        <x:v>USD/month
canonical_modeled_carry</x:v>
      </x:c>
      <x:c r="Q19" s="254" t="str">
        <x:v>version_c_latest_payment_carry_v1</x:v>
      </x:c>
      <x:c r="R19" s="254" t="str">
        <x:v>Carry each latest eligible structural level and its bounds to every target month without interpolation</x:v>
      </x:c>
      <x:c r="S19" s="254" t="str">
        <x:v>Fully populated
3,248 rows
3,248 non-null
2022-01-31 to 2026-08-31
Flags: 1,160 nowcast; 3,190 carried</x:v>
      </x:c>
      <x:c r="T19" s="254" t="str">
        <x:v>A is an ACS/PUMS structural benchmark at source frequency; both monthly versions construct levels from that anchor.</x:v>
      </x:c>
      <x:c r="U19" s="254" t="str">
        <x:v>Same anchor value where they overlap. B repeats only the reference calendar year; C carries the latest cutoff-eligible anchor across target months and flags carries/nowcasts.</x:v>
      </x:c>
      <x:c r="V19" s="254" t="str">
        <x:v>All 696 jointly populated rows equal; 0 both-null</x:v>
      </x:c>
      <x:c r="W19" s="257" t="n">
        <x:v>0</x:v>
      </x:c>
      <x:c r="X19" s="257" t="n">
        <x:v>696</x:v>
      </x:c>
      <x:c r="Y19" s="257" t="n">
        <x:v>0</x:v>
      </x:c>
      <x:c r="Z19" s="257" t="n">
        <x:v>0</x:v>
      </x:c>
      <x:c r="AA19" s="254" t="str">
        <x:v>C extends beyond B's anchor year; equality in the overlap is intentional, not evidence that the version contracts are identical.</x:v>
      </x:c>
    </x:row>
    <x:row r="20" ht="78" customHeight="1">
      <x:c r="A20" s="254" t="str">
        <x:v>acs_first_mortgage_pi_per_mortgaged_unit</x:v>
      </x:c>
      <x:c r="B20" s="254" t="str">
        <x:v>First-mortgage P&amp;I per mortgaged unit</x:v>
      </x:c>
      <x:c r="C20" s="262" t="str">
        <x:v>Payment and debt-service controls</x:v>
      </x:c>
      <x:c r="D20" s="260" t="str">
        <x:v>Shared A/B/C</x:v>
      </x:c>
      <x:c r="E20" s="254" t="str">
        <x:v>acs_first_mortgage_pi_per_mortgaged_unit_benchmark</x:v>
      </x:c>
      <x:c r="F20" s="254" t="str">
        <x:v>USD/unit/month</x:v>
      </x:c>
      <x:c r="G20" s="254" t="str">
        <x:v>ACS 5-year -&gt; ACS 5-year</x:v>
      </x:c>
      <x:c r="H20" s="254" t="str">
        <x:v>matched-period ratio</x:v>
      </x:c>
      <x:c r="I20" s="254" t="str">
        <x:v>Fully populated
58 rows
58 non-null
Reference 2022-07-01; source period 2020-01-01 to 2024-12-31</x:v>
      </x:c>
      <x:c r="J20" s="254" t="str">
        <x:v>acs_first_mortgage_pi_per_mortgaged_unit_monthly_hist</x:v>
      </x:c>
      <x:c r="K20" s="254" t="str">
        <x:v>USD/unit/month
canonical_modeled_repeat</x:v>
      </x:c>
      <x:c r="L20" s="254" t="str">
        <x:v>version_b_reference_year_payment_repeat_v1</x:v>
      </x:c>
      <x:c r="M20" s="254" t="str">
        <x:v>Repeat each benchmark level in every month of its reference calendar year</x:v>
      </x:c>
      <x:c r="N20" s="254" t="str">
        <x:v>Fully populated
696 rows
696 non-null
2022-01-31 to 2022-12-31</x:v>
      </x:c>
      <x:c r="O20" s="254" t="str">
        <x:v>acs_first_mortgage_pi_per_mortgaged_unit_monthly_rt</x:v>
      </x:c>
      <x:c r="P20" s="254" t="str">
        <x:v>USD/unit/month
canonical_modeled_carry</x:v>
      </x:c>
      <x:c r="Q20" s="254" t="str">
        <x:v>version_c_latest_payment_carry_v1</x:v>
      </x:c>
      <x:c r="R20" s="254" t="str">
        <x:v>Carry each latest eligible structural level and its bounds to every target month without interpolation</x:v>
      </x:c>
      <x:c r="S20" s="254" t="str">
        <x:v>Fully populated
3,248 rows
3,248 non-null
2022-01-31 to 2026-08-31
Flags: 1,160 nowcast; 3,190 carried</x:v>
      </x:c>
      <x:c r="T20" s="254" t="str">
        <x:v>A is an ACS/PUMS structural benchmark at source frequency; both monthly versions construct levels from that anchor.</x:v>
      </x:c>
      <x:c r="U20" s="254" t="str">
        <x:v>Same anchor value where they overlap. B repeats only the reference calendar year; C carries the latest cutoff-eligible anchor across target months and flags carries/nowcasts.</x:v>
      </x:c>
      <x:c r="V20" s="254" t="str">
        <x:v>All 696 jointly populated rows equal; 0 both-null</x:v>
      </x:c>
      <x:c r="W20" s="257" t="n">
        <x:v>0</x:v>
      </x:c>
      <x:c r="X20" s="257" t="n">
        <x:v>696</x:v>
      </x:c>
      <x:c r="Y20" s="257" t="n">
        <x:v>0</x:v>
      </x:c>
      <x:c r="Z20" s="257" t="n">
        <x:v>0</x:v>
      </x:c>
      <x:c r="AA20" s="254" t="str">
        <x:v>C extends beyond B's anchor year; equality in the overlap is intentional, not evidence that the version contracts are identical.</x:v>
      </x:c>
    </x:row>
    <x:row r="21" ht="78" customHeight="1">
      <x:c r="A21" s="254" t="str">
        <x:v>acs_annual_first_mortgage_debt_service</x:v>
      </x:c>
      <x:c r="B21" s="254" t="str">
        <x:v>Annual first-mortgage debt service</x:v>
      </x:c>
      <x:c r="C21" s="262" t="str">
        <x:v>Payment and debt-service controls</x:v>
      </x:c>
      <x:c r="D21" s="260" t="str">
        <x:v>Shared A/B/C</x:v>
      </x:c>
      <x:c r="E21" s="254" t="str">
        <x:v>acs_annual_first_mortgage_debt_service_benchmark</x:v>
      </x:c>
      <x:c r="F21" s="254" t="str">
        <x:v>USD/year</x:v>
      </x:c>
      <x:c r="G21" s="254" t="str">
        <x:v>ACS 5-year -&gt; ACS 5-year</x:v>
      </x:c>
      <x:c r="H21" s="254" t="str">
        <x:v>multiply monthly payment unit by twelve</x:v>
      </x:c>
      <x:c r="I21" s="254" t="str">
        <x:v>Fully populated
58 rows
58 non-null
Reference 2022-07-01; source period 2020-01-01 to 2024-12-31</x:v>
      </x:c>
      <x:c r="J21" s="254" t="str">
        <x:v>acs_annual_first_mortgage_debt_service_monthly_hist</x:v>
      </x:c>
      <x:c r="K21" s="254" t="str">
        <x:v>USD/year
canonical_modeled_repeat</x:v>
      </x:c>
      <x:c r="L21" s="254" t="str">
        <x:v>version_b_reference_year_payment_repeat_v1</x:v>
      </x:c>
      <x:c r="M21" s="254" t="str">
        <x:v>Repeat each benchmark level in every month of its reference calendar year</x:v>
      </x:c>
      <x:c r="N21" s="254" t="str">
        <x:v>Fully populated
696 rows
696 non-null
2022-01-31 to 2022-12-31</x:v>
      </x:c>
      <x:c r="O21" s="254" t="str">
        <x:v>acs_annual_first_mortgage_debt_service_monthly_rt</x:v>
      </x:c>
      <x:c r="P21" s="254" t="str">
        <x:v>USD/year
canonical_modeled_carry</x:v>
      </x:c>
      <x:c r="Q21" s="254" t="str">
        <x:v>version_c_latest_payment_carry_v1</x:v>
      </x:c>
      <x:c r="R21" s="254" t="str">
        <x:v>Carry each latest eligible structural level and its bounds to every target month without interpolation</x:v>
      </x:c>
      <x:c r="S21" s="254" t="str">
        <x:v>Fully populated
3,248 rows
3,248 non-null
2022-01-31 to 2026-08-31
Flags: 1,160 nowcast; 3,190 carried</x:v>
      </x:c>
      <x:c r="T21" s="254" t="str">
        <x:v>A is an ACS/PUMS structural benchmark at source frequency; both monthly versions construct levels from that anchor.</x:v>
      </x:c>
      <x:c r="U21" s="254" t="str">
        <x:v>Same anchor value where they overlap. B repeats only the reference calendar year; C carries the latest cutoff-eligible anchor across target months and flags carries/nowcasts.</x:v>
      </x:c>
      <x:c r="V21" s="254" t="str">
        <x:v>All 696 jointly populated rows equal; 0 both-null</x:v>
      </x:c>
      <x:c r="W21" s="257" t="n">
        <x:v>0</x:v>
      </x:c>
      <x:c r="X21" s="257" t="n">
        <x:v>696</x:v>
      </x:c>
      <x:c r="Y21" s="257" t="n">
        <x:v>0</x:v>
      </x:c>
      <x:c r="Z21" s="257" t="n">
        <x:v>0</x:v>
      </x:c>
      <x:c r="AA21" s="254" t="str">
        <x:v>C extends beyond B's anchor year; equality in the overlap is intentional, not evidence that the version contracts are identical.</x:v>
      </x:c>
    </x:row>
    <x:row r="22" ht="78" customHeight="1">
      <x:c r="A22" s="254" t="str">
        <x:v>acs_mortgage_debt_service_to_income</x:v>
      </x:c>
      <x:c r="B22" s="254" t="str">
        <x:v>Mortgage debt-service-to-income</x:v>
      </x:c>
      <x:c r="C22" s="262" t="str">
        <x:v>Payment and debt-service controls</x:v>
      </x:c>
      <x:c r="D22" s="260" t="str">
        <x:v>Shared A/B/C</x:v>
      </x:c>
      <x:c r="E22" s="254" t="str">
        <x:v>acs_mortgage_debt_service_to_income_benchmark</x:v>
      </x:c>
      <x:c r="F22" s="254" t="str">
        <x:v>ratio</x:v>
      </x:c>
      <x:c r="G22" s="254" t="str">
        <x:v>ACS 5-year -&gt; ACS 5-year</x:v>
      </x:c>
      <x:c r="H22" s="254" t="str">
        <x:v>matched-universe ratio</x:v>
      </x:c>
      <x:c r="I22" s="254" t="str">
        <x:v>Fully populated
58 rows
58 non-null
Reference 2022-07-01; source period 2020-01-01 to 2024-12-31</x:v>
      </x:c>
      <x:c r="J22" s="254" t="str">
        <x:v>acs_mortgage_debt_service_to_income_monthly_hist</x:v>
      </x:c>
      <x:c r="K22" s="254" t="str">
        <x:v>ratio
canonical_modeled_repeat</x:v>
      </x:c>
      <x:c r="L22" s="254" t="str">
        <x:v>version_b_reference_year_payment_repeat_v1</x:v>
      </x:c>
      <x:c r="M22" s="254" t="str">
        <x:v>Repeat each benchmark level in every month of its reference calendar year</x:v>
      </x:c>
      <x:c r="N22" s="254" t="str">
        <x:v>Fully populated
696 rows
696 non-null
2022-01-31 to 2022-12-31</x:v>
      </x:c>
      <x:c r="O22" s="254" t="str">
        <x:v>acs_mortgage_debt_service_to_income_monthly_rt</x:v>
      </x:c>
      <x:c r="P22" s="254" t="str">
        <x:v>ratio
canonical_modeled_carry</x:v>
      </x:c>
      <x:c r="Q22" s="254" t="str">
        <x:v>version_c_latest_payment_carry_v1</x:v>
      </x:c>
      <x:c r="R22" s="254" t="str">
        <x:v>Carry each latest eligible structural level and its bounds to every target month without interpolation</x:v>
      </x:c>
      <x:c r="S22" s="254" t="str">
        <x:v>Fully populated
3,248 rows
3,248 non-null
2022-01-31 to 2026-08-31
Flags: 1,160 nowcast; 3,190 carried</x:v>
      </x:c>
      <x:c r="T22" s="254" t="str">
        <x:v>A is an ACS/PUMS structural benchmark at source frequency; both monthly versions construct levels from that anchor.</x:v>
      </x:c>
      <x:c r="U22" s="254" t="str">
        <x:v>Same anchor value where they overlap. B repeats only the reference calendar year; C carries the latest cutoff-eligible anchor across target months and flags carries/nowcasts.</x:v>
      </x:c>
      <x:c r="V22" s="254" t="str">
        <x:v>All 696 jointly populated rows equal; 0 both-null</x:v>
      </x:c>
      <x:c r="W22" s="257" t="n">
        <x:v>0</x:v>
      </x:c>
      <x:c r="X22" s="257" t="n">
        <x:v>696</x:v>
      </x:c>
      <x:c r="Y22" s="257" t="n">
        <x:v>0</x:v>
      </x:c>
      <x:c r="Z22" s="257" t="n">
        <x:v>0</x:v>
      </x:c>
      <x:c r="AA22" s="254" t="str">
        <x:v>C extends beyond B's anchor year; equality in the overlap is intentional, not evidence that the version contracts are identical.</x:v>
      </x:c>
    </x:row>
    <x:row r="23" ht="78" customHeight="1">
      <x:c r="A23" s="254" t="str">
        <x:v>hmda_median_downpayment_rate</x:v>
      </x:c>
      <x:c r="B23" s="254" t="str">
        <x:v>HMDA median down-payment rate</x:v>
      </x:c>
      <x:c r="C23" s="264" t="str">
        <x:v>HMDA rates and threshold shares</x:v>
      </x:c>
      <x:c r="D23" s="260" t="str">
        <x:v>Shared A/B/C</x:v>
      </x:c>
      <x:c r="E23" s="254" t="str">
        <x:v>hmda_median_downpayment_rate_benchmark</x:v>
      </x:c>
      <x:c r="F23" s="254" t="str">
        <x:v>ratio</x:v>
      </x:c>
      <x:c r="G23" s="254" t="str">
        <x:v>annual -&gt; annual</x:v>
      </x:c>
      <x:c r="H23" s="254" t="str">
        <x:v>direct annual aggregation</x:v>
      </x:c>
      <x:c r="I23" s="254" t="str">
        <x:v>Partially populated
58 rows
55 non-null
Reference 2025-07-01; source period 2025-01-01 to 2025-12-31</x:v>
      </x:c>
      <x:c r="J23" s="254" t="str">
        <x:v>hmda_median_downpayment_rate_monthly_hist</x:v>
      </x:c>
      <x:c r="K23" s="254" t="str">
        <x:v>rate
canonical_modeled_repeat</x:v>
      </x:c>
      <x:c r="L23" s="254" t="str">
        <x:v>version_b_hmda_annual_rate_repeat_v1</x:v>
      </x:c>
      <x:c r="M23" s="254" t="str">
        <x:v>Repeat the annual county rate or share in each activity-year month without division</x:v>
      </x:c>
      <x:c r="N23" s="254" t="str">
        <x:v>Partially populated
696 rows
660 non-null
2025-01-31 to 2025-12-31</x:v>
      </x:c>
      <x:c r="O23" s="254" t="str">
        <x:v>hmda_median_downpayment_rate_monthly_rt</x:v>
      </x:c>
      <x:c r="P23" s="254" t="str">
        <x:v>rate
canonical_modeled_carry</x:v>
      </x:c>
      <x:c r="Q23" s="254" t="str">
        <x:v>version_c_latest_hmda_rate_carry_v1</x:v>
      </x:c>
      <x:c r="R23" s="254" t="str">
        <x:v>Repeat the latest eligible annual county rate or share as a monthly level without division or interpolation</x:v>
      </x:c>
      <x:c r="S23" s="254" t="str">
        <x:v>Partially populated
3,248 rows
1,100 non-null
2022-01-31 to 2026-08-31
Flags: 464 nowcast; 3,190 carried</x:v>
      </x:c>
      <x:c r="T23" s="254" t="str">
        <x:v>A is the published annual HMDA county rate/share; B and C express it as a monthly level without dividing by 12.</x:v>
      </x:c>
      <x:c r="U23" s="254" t="str">
        <x:v>Same annual value in the activity-year overlap. B emits the activity year; C carries the latest cutoff-eligible release and preserves suppression/sample metadata.</x:v>
      </x:c>
      <x:c r="V23" s="254" t="str">
        <x:v>All 660 jointly populated rows equal; 36 both-null</x:v>
      </x:c>
      <x:c r="W23" s="257" t="n">
        <x:v>0</x:v>
      </x:c>
      <x:c r="X23" s="257" t="n">
        <x:v>660</x:v>
      </x:c>
      <x:c r="Y23" s="257" t="n">
        <x:v>0</x:v>
      </x:c>
      <x:c r="Z23" s="257" t="n">
        <x:v>36</x:v>
      </x:c>
      <x:c r="AA23" s="254" t="str">
        <x:v>C is null before the eligible HMDA source period and extends the latest released level into later months as a carry/nowcast.</x:v>
      </x:c>
    </x:row>
    <x:row r="24" ht="78" customHeight="1">
      <x:c r="A24" s="254" t="str">
        <x:v>hmda_property_value_weighted_downpayment_rate</x:v>
      </x:c>
      <x:c r="B24" s="254" t="str">
        <x:v>HMDA property-value-weighted down-payment rate</x:v>
      </x:c>
      <x:c r="C24" s="264" t="str">
        <x:v>HMDA rates and threshold shares</x:v>
      </x:c>
      <x:c r="D24" s="260" t="str">
        <x:v>Shared A/B/C</x:v>
      </x:c>
      <x:c r="E24" s="254" t="str">
        <x:v>hmda_property_value_weighted_downpayment_rate_benchmark</x:v>
      </x:c>
      <x:c r="F24" s="254" t="str">
        <x:v>ratio</x:v>
      </x:c>
      <x:c r="G24" s="254" t="str">
        <x:v>annual -&gt; annual</x:v>
      </x:c>
      <x:c r="H24" s="254" t="str">
        <x:v>direct annual aggregation</x:v>
      </x:c>
      <x:c r="I24" s="254" t="str">
        <x:v>Partially populated
58 rows
55 non-null
Reference 2025-07-01; source period 2025-01-01 to 2025-12-31</x:v>
      </x:c>
      <x:c r="J24" s="254" t="str">
        <x:v>hmda_property_value_weighted_downpayment_rate_monthly_hist</x:v>
      </x:c>
      <x:c r="K24" s="254" t="str">
        <x:v>rate
canonical_modeled_repeat</x:v>
      </x:c>
      <x:c r="L24" s="254" t="str">
        <x:v>version_b_hmda_annual_rate_repeat_v1</x:v>
      </x:c>
      <x:c r="M24" s="254" t="str">
        <x:v>Repeat the annual county rate or share in each activity-year month without division</x:v>
      </x:c>
      <x:c r="N24" s="254" t="str">
        <x:v>Partially populated
696 rows
660 non-null
2025-01-31 to 2025-12-31</x:v>
      </x:c>
      <x:c r="O24" s="254" t="str">
        <x:v>hmda_property_value_weighted_downpayment_rate_monthly_rt</x:v>
      </x:c>
      <x:c r="P24" s="254" t="str">
        <x:v>rate
canonical_modeled_carry</x:v>
      </x:c>
      <x:c r="Q24" s="254" t="str">
        <x:v>version_c_latest_hmda_rate_carry_v1</x:v>
      </x:c>
      <x:c r="R24" s="254" t="str">
        <x:v>Repeat the latest eligible annual county rate or share as a monthly level without division or interpolation</x:v>
      </x:c>
      <x:c r="S24" s="254" t="str">
        <x:v>Partially populated
3,248 rows
1,100 non-null
2022-01-31 to 2026-08-31
Flags: 464 nowcast; 3,190 carried</x:v>
      </x:c>
      <x:c r="T24" s="254" t="str">
        <x:v>A is the published annual HMDA county rate/share; B and C express it as a monthly level without dividing by 12.</x:v>
      </x:c>
      <x:c r="U24" s="254" t="str">
        <x:v>Same annual value in the activity-year overlap. B emits the activity year; C carries the latest cutoff-eligible release and preserves suppression/sample metadata.</x:v>
      </x:c>
      <x:c r="V24" s="254" t="str">
        <x:v>All 660 jointly populated rows equal; 36 both-null</x:v>
      </x:c>
      <x:c r="W24" s="257" t="n">
        <x:v>0</x:v>
      </x:c>
      <x:c r="X24" s="257" t="n">
        <x:v>660</x:v>
      </x:c>
      <x:c r="Y24" s="257" t="n">
        <x:v>0</x:v>
      </x:c>
      <x:c r="Z24" s="257" t="n">
        <x:v>36</x:v>
      </x:c>
      <x:c r="AA24" s="254" t="str">
        <x:v>C is null before the eligible HMDA source period and extends the latest released level into later months as a carry/nowcast.</x:v>
      </x:c>
    </x:row>
    <x:row r="25" ht="78" customHeight="1">
      <x:c r="A25" s="254" t="str">
        <x:v>hmda_median_downpayment_rate_conventional</x:v>
      </x:c>
      <x:c r="B25" s="254" t="str">
        <x:v>HMDA median down-payment rate - conventional</x:v>
      </x:c>
      <x:c r="C25" s="264" t="str">
        <x:v>HMDA rates and threshold shares</x:v>
      </x:c>
      <x:c r="D25" s="260" t="str">
        <x:v>Shared A/B/C</x:v>
      </x:c>
      <x:c r="E25" s="254" t="str">
        <x:v>hmda_median_downpayment_rate_conventional_benchmark</x:v>
      </x:c>
      <x:c r="F25" s="254" t="str">
        <x:v>ratio</x:v>
      </x:c>
      <x:c r="G25" s="254" t="str">
        <x:v>annual -&gt; annual</x:v>
      </x:c>
      <x:c r="H25" s="254" t="str">
        <x:v>direct annual loan-type aggregation</x:v>
      </x:c>
      <x:c r="I25" s="254" t="str">
        <x:v>Partially populated
58 rows
46 non-null
Reference 2025-07-01; source period 2025-01-01 to 2025-12-31</x:v>
      </x:c>
      <x:c r="J25" s="254" t="str">
        <x:v>hmda_median_downpayment_rate_conventional_monthly_hist</x:v>
      </x:c>
      <x:c r="K25" s="254" t="str">
        <x:v>rate
canonical_modeled_repeat</x:v>
      </x:c>
      <x:c r="L25" s="254" t="str">
        <x:v>version_b_hmda_annual_rate_repeat_v1</x:v>
      </x:c>
      <x:c r="M25" s="254" t="str">
        <x:v>Repeat the annual county rate or share in each activity-year month without division</x:v>
      </x:c>
      <x:c r="N25" s="254" t="str">
        <x:v>Partially populated
696 rows
552 non-null
2025-01-31 to 2025-12-31</x:v>
      </x:c>
      <x:c r="O25" s="254" t="str">
        <x:v>hmda_median_downpayment_rate_conventional_monthly_rt</x:v>
      </x:c>
      <x:c r="P25" s="254" t="str">
        <x:v>rate
canonical_modeled_carry</x:v>
      </x:c>
      <x:c r="Q25" s="254" t="str">
        <x:v>version_c_latest_hmda_rate_carry_v1</x:v>
      </x:c>
      <x:c r="R25" s="254" t="str">
        <x:v>Repeat the latest eligible annual county rate or share as a monthly level without division or interpolation</x:v>
      </x:c>
      <x:c r="S25" s="254" t="str">
        <x:v>Partially populated
3,248 rows
920 non-null
2022-01-31 to 2026-08-31
Flags: 464 nowcast; 3,190 carried</x:v>
      </x:c>
      <x:c r="T25" s="254" t="str">
        <x:v>A is the published annual HMDA county rate/share; B and C express it as a monthly level without dividing by 12.</x:v>
      </x:c>
      <x:c r="U25" s="254" t="str">
        <x:v>Same annual value in the activity-year overlap. B emits the activity year; C carries the latest cutoff-eligible release and preserves suppression/sample metadata.</x:v>
      </x:c>
      <x:c r="V25" s="254" t="str">
        <x:v>All 552 jointly populated rows equal; 144 both-null</x:v>
      </x:c>
      <x:c r="W25" s="257" t="n">
        <x:v>0</x:v>
      </x:c>
      <x:c r="X25" s="257" t="n">
        <x:v>552</x:v>
      </x:c>
      <x:c r="Y25" s="257" t="n">
        <x:v>0</x:v>
      </x:c>
      <x:c r="Z25" s="257" t="n">
        <x:v>144</x:v>
      </x:c>
      <x:c r="AA25" s="254" t="str">
        <x:v>C is null before the eligible HMDA source period and extends the latest released level into later months as a carry/nowcast.</x:v>
      </x:c>
    </x:row>
    <x:row r="26" ht="78" customHeight="1">
      <x:c r="A26" s="254" t="str">
        <x:v>hmda_property_value_weighted_downpayment_rate_conventional</x:v>
      </x:c>
      <x:c r="B26" s="254" t="str">
        <x:v>HMDA property-value-weighted down-payment rate - conventional</x:v>
      </x:c>
      <x:c r="C26" s="264" t="str">
        <x:v>HMDA rates and threshold shares</x:v>
      </x:c>
      <x:c r="D26" s="260" t="str">
        <x:v>Shared A/B/C</x:v>
      </x:c>
      <x:c r="E26" s="254" t="str">
        <x:v>hmda_property_value_weighted_downpayment_rate_conventional_benchmark</x:v>
      </x:c>
      <x:c r="F26" s="254" t="str">
        <x:v>ratio</x:v>
      </x:c>
      <x:c r="G26" s="254" t="str">
        <x:v>annual -&gt; annual</x:v>
      </x:c>
      <x:c r="H26" s="254" t="str">
        <x:v>direct annual loan-type aggregation</x:v>
      </x:c>
      <x:c r="I26" s="254" t="str">
        <x:v>Partially populated
58 rows
46 non-null
Reference 2025-07-01; source period 2025-01-01 to 2025-12-31</x:v>
      </x:c>
      <x:c r="J26" s="254" t="str">
        <x:v>hmda_property_value_weighted_downpayment_rate_conventional_monthly_hist</x:v>
      </x:c>
      <x:c r="K26" s="254" t="str">
        <x:v>rate
canonical_modeled_repeat</x:v>
      </x:c>
      <x:c r="L26" s="254" t="str">
        <x:v>version_b_hmda_annual_rate_repeat_v1</x:v>
      </x:c>
      <x:c r="M26" s="254" t="str">
        <x:v>Repeat the annual county rate or share in each activity-year month without division</x:v>
      </x:c>
      <x:c r="N26" s="254" t="str">
        <x:v>Partially populated
696 rows
552 non-null
2025-01-31 to 2025-12-31</x:v>
      </x:c>
      <x:c r="O26" s="254" t="str">
        <x:v>hmda_property_value_weighted_downpayment_rate_conventional_monthly_rt</x:v>
      </x:c>
      <x:c r="P26" s="254" t="str">
        <x:v>rate
canonical_modeled_carry</x:v>
      </x:c>
      <x:c r="Q26" s="254" t="str">
        <x:v>version_c_latest_hmda_rate_carry_v1</x:v>
      </x:c>
      <x:c r="R26" s="254" t="str">
        <x:v>Repeat the latest eligible annual county rate or share as a monthly level without division or interpolation</x:v>
      </x:c>
      <x:c r="S26" s="254" t="str">
        <x:v>Partially populated
3,248 rows
920 non-null
2022-01-31 to 2026-08-31
Flags: 464 nowcast; 3,190 carried</x:v>
      </x:c>
      <x:c r="T26" s="254" t="str">
        <x:v>A is the published annual HMDA county rate/share; B and C express it as a monthly level without dividing by 12.</x:v>
      </x:c>
      <x:c r="U26" s="254" t="str">
        <x:v>Same annual value in the activity-year overlap. B emits the activity year; C carries the latest cutoff-eligible release and preserves suppression/sample metadata.</x:v>
      </x:c>
      <x:c r="V26" s="254" t="str">
        <x:v>All 552 jointly populated rows equal; 144 both-null</x:v>
      </x:c>
      <x:c r="W26" s="257" t="n">
        <x:v>0</x:v>
      </x:c>
      <x:c r="X26" s="257" t="n">
        <x:v>552</x:v>
      </x:c>
      <x:c r="Y26" s="257" t="n">
        <x:v>0</x:v>
      </x:c>
      <x:c r="Z26" s="257" t="n">
        <x:v>144</x:v>
      </x:c>
      <x:c r="AA26" s="254" t="str">
        <x:v>C is null before the eligible HMDA source period and extends the latest released level into later months as a carry/nowcast.</x:v>
      </x:c>
    </x:row>
    <x:row r="27" ht="78" customHeight="1">
      <x:c r="A27" s="254" t="str">
        <x:v>hmda_median_downpayment_rate_fha</x:v>
      </x:c>
      <x:c r="B27" s="254" t="str">
        <x:v>HMDA median down-payment rate - FHA</x:v>
      </x:c>
      <x:c r="C27" s="264" t="str">
        <x:v>HMDA rates and threshold shares</x:v>
      </x:c>
      <x:c r="D27" s="260" t="str">
        <x:v>Shared A/B/C</x:v>
      </x:c>
      <x:c r="E27" s="254" t="str">
        <x:v>hmda_median_downpayment_rate_fha_benchmark</x:v>
      </x:c>
      <x:c r="F27" s="254" t="str">
        <x:v>ratio</x:v>
      </x:c>
      <x:c r="G27" s="254" t="str">
        <x:v>annual -&gt; annual</x:v>
      </x:c>
      <x:c r="H27" s="254" t="str">
        <x:v>direct annual loan-type aggregation</x:v>
      </x:c>
      <x:c r="I27" s="254" t="str">
        <x:v>Partially populated
58 rows
39 non-null
Reference 2025-07-01; source period 2025-01-01 to 2025-12-31</x:v>
      </x:c>
      <x:c r="J27" s="254" t="str">
        <x:v>hmda_median_downpayment_rate_fha_monthly_hist</x:v>
      </x:c>
      <x:c r="K27" s="254" t="str">
        <x:v>rate
canonical_modeled_repeat</x:v>
      </x:c>
      <x:c r="L27" s="254" t="str">
        <x:v>version_b_hmda_annual_rate_repeat_v1</x:v>
      </x:c>
      <x:c r="M27" s="254" t="str">
        <x:v>Repeat the annual county rate or share in each activity-year month without division</x:v>
      </x:c>
      <x:c r="N27" s="254" t="str">
        <x:v>Partially populated
696 rows
468 non-null
2025-01-31 to 2025-12-31</x:v>
      </x:c>
      <x:c r="O27" s="254" t="str">
        <x:v>hmda_median_downpayment_rate_fha_monthly_rt</x:v>
      </x:c>
      <x:c r="P27" s="254" t="str">
        <x:v>rate
canonical_modeled_carry</x:v>
      </x:c>
      <x:c r="Q27" s="254" t="str">
        <x:v>version_c_latest_hmda_rate_carry_v1</x:v>
      </x:c>
      <x:c r="R27" s="254" t="str">
        <x:v>Repeat the latest eligible annual county rate or share as a monthly level without division or interpolation</x:v>
      </x:c>
      <x:c r="S27" s="254" t="str">
        <x:v>Partially populated
3,248 rows
780 non-null
2022-01-31 to 2026-08-31
Flags: 464 nowcast; 3,190 carried</x:v>
      </x:c>
      <x:c r="T27" s="254" t="str">
        <x:v>A is the published annual HMDA county rate/share; B and C express it as a monthly level without dividing by 12.</x:v>
      </x:c>
      <x:c r="U27" s="254" t="str">
        <x:v>Same annual value in the activity-year overlap. B emits the activity year; C carries the latest cutoff-eligible release and preserves suppression/sample metadata.</x:v>
      </x:c>
      <x:c r="V27" s="254" t="str">
        <x:v>All 468 jointly populated rows equal; 228 both-null</x:v>
      </x:c>
      <x:c r="W27" s="257" t="n">
        <x:v>0</x:v>
      </x:c>
      <x:c r="X27" s="257" t="n">
        <x:v>468</x:v>
      </x:c>
      <x:c r="Y27" s="257" t="n">
        <x:v>0</x:v>
      </x:c>
      <x:c r="Z27" s="257" t="n">
        <x:v>228</x:v>
      </x:c>
      <x:c r="AA27" s="254" t="str">
        <x:v>C is null before the eligible HMDA source period and extends the latest released level into later months as a carry/nowcast.</x:v>
      </x:c>
    </x:row>
    <x:row r="28" ht="78" customHeight="1">
      <x:c r="A28" s="254" t="str">
        <x:v>hmda_property_value_weighted_downpayment_rate_fha</x:v>
      </x:c>
      <x:c r="B28" s="254" t="str">
        <x:v>HMDA property-value-weighted down-payment rate - FHA</x:v>
      </x:c>
      <x:c r="C28" s="264" t="str">
        <x:v>HMDA rates and threshold shares</x:v>
      </x:c>
      <x:c r="D28" s="260" t="str">
        <x:v>Shared A/B/C</x:v>
      </x:c>
      <x:c r="E28" s="254" t="str">
        <x:v>hmda_property_value_weighted_downpayment_rate_fha_benchmark</x:v>
      </x:c>
      <x:c r="F28" s="254" t="str">
        <x:v>ratio</x:v>
      </x:c>
      <x:c r="G28" s="254" t="str">
        <x:v>annual -&gt; annual</x:v>
      </x:c>
      <x:c r="H28" s="254" t="str">
        <x:v>direct annual loan-type aggregation</x:v>
      </x:c>
      <x:c r="I28" s="254" t="str">
        <x:v>Partially populated
58 rows
39 non-null
Reference 2025-07-01; source period 2025-01-01 to 2025-12-31</x:v>
      </x:c>
      <x:c r="J28" s="254" t="str">
        <x:v>hmda_property_value_weighted_downpayment_rate_fha_monthly_hist</x:v>
      </x:c>
      <x:c r="K28" s="254" t="str">
        <x:v>rate
canonical_modeled_repeat</x:v>
      </x:c>
      <x:c r="L28" s="254" t="str">
        <x:v>version_b_hmda_annual_rate_repeat_v1</x:v>
      </x:c>
      <x:c r="M28" s="254" t="str">
        <x:v>Repeat the annual county rate or share in each activity-year month without division</x:v>
      </x:c>
      <x:c r="N28" s="254" t="str">
        <x:v>Partially populated
696 rows
468 non-null
2025-01-31 to 2025-12-31</x:v>
      </x:c>
      <x:c r="O28" s="254" t="str">
        <x:v>hmda_property_value_weighted_downpayment_rate_fha_monthly_rt</x:v>
      </x:c>
      <x:c r="P28" s="254" t="str">
        <x:v>rate
canonical_modeled_carry</x:v>
      </x:c>
      <x:c r="Q28" s="254" t="str">
        <x:v>version_c_latest_hmda_rate_carry_v1</x:v>
      </x:c>
      <x:c r="R28" s="254" t="str">
        <x:v>Repeat the latest eligible annual county rate or share as a monthly level without division or interpolation</x:v>
      </x:c>
      <x:c r="S28" s="254" t="str">
        <x:v>Partially populated
3,248 rows
780 non-null
2022-01-31 to 2026-08-31
Flags: 464 nowcast; 3,190 carried</x:v>
      </x:c>
      <x:c r="T28" s="254" t="str">
        <x:v>A is the published annual HMDA county rate/share; B and C express it as a monthly level without dividing by 12.</x:v>
      </x:c>
      <x:c r="U28" s="254" t="str">
        <x:v>Same annual value in the activity-year overlap. B emits the activity year; C carries the latest cutoff-eligible release and preserves suppression/sample metadata.</x:v>
      </x:c>
      <x:c r="V28" s="254" t="str">
        <x:v>All 468 jointly populated rows equal; 228 both-null</x:v>
      </x:c>
      <x:c r="W28" s="257" t="n">
        <x:v>0</x:v>
      </x:c>
      <x:c r="X28" s="257" t="n">
        <x:v>468</x:v>
      </x:c>
      <x:c r="Y28" s="257" t="n">
        <x:v>0</x:v>
      </x:c>
      <x:c r="Z28" s="257" t="n">
        <x:v>228</x:v>
      </x:c>
      <x:c r="AA28" s="254" t="str">
        <x:v>C is null before the eligible HMDA source period and extends the latest released level into later months as a carry/nowcast.</x:v>
      </x:c>
    </x:row>
    <x:row r="29" ht="78" customHeight="1">
      <x:c r="A29" s="254" t="str">
        <x:v>hmda_median_downpayment_rate_va</x:v>
      </x:c>
      <x:c r="B29" s="254" t="str">
        <x:v>HMDA median down-payment rate - VA</x:v>
      </x:c>
      <x:c r="C29" s="264" t="str">
        <x:v>HMDA rates and threshold shares</x:v>
      </x:c>
      <x:c r="D29" s="260" t="str">
        <x:v>Shared A/B/C</x:v>
      </x:c>
      <x:c r="E29" s="254" t="str">
        <x:v>hmda_median_downpayment_rate_va_benchmark</x:v>
      </x:c>
      <x:c r="F29" s="254" t="str">
        <x:v>ratio</x:v>
      </x:c>
      <x:c r="G29" s="254" t="str">
        <x:v>annual -&gt; annual</x:v>
      </x:c>
      <x:c r="H29" s="254" t="str">
        <x:v>direct annual loan-type aggregation</x:v>
      </x:c>
      <x:c r="I29" s="254" t="str">
        <x:v>Partially populated
58 rows
23 non-null
Reference 2025-07-01; source period 2025-01-01 to 2025-12-31</x:v>
      </x:c>
      <x:c r="J29" s="254" t="str">
        <x:v>hmda_median_downpayment_rate_va_monthly_hist</x:v>
      </x:c>
      <x:c r="K29" s="254" t="str">
        <x:v>rate
canonical_modeled_repeat</x:v>
      </x:c>
      <x:c r="L29" s="254" t="str">
        <x:v>version_b_hmda_annual_rate_repeat_v1</x:v>
      </x:c>
      <x:c r="M29" s="254" t="str">
        <x:v>Repeat the annual county rate or share in each activity-year month without division</x:v>
      </x:c>
      <x:c r="N29" s="254" t="str">
        <x:v>Partially populated
696 rows
276 non-null
2025-01-31 to 2025-12-31</x:v>
      </x:c>
      <x:c r="O29" s="254" t="str">
        <x:v>hmda_median_downpayment_rate_va_monthly_rt</x:v>
      </x:c>
      <x:c r="P29" s="254" t="str">
        <x:v>rate
canonical_modeled_carry</x:v>
      </x:c>
      <x:c r="Q29" s="254" t="str">
        <x:v>version_c_latest_hmda_rate_carry_v1</x:v>
      </x:c>
      <x:c r="R29" s="254" t="str">
        <x:v>Repeat the latest eligible annual county rate or share as a monthly level without division or interpolation</x:v>
      </x:c>
      <x:c r="S29" s="254" t="str">
        <x:v>Partially populated
3,248 rows
460 non-null
2022-01-31 to 2026-08-31
Flags: 464 nowcast; 3,190 carried</x:v>
      </x:c>
      <x:c r="T29" s="254" t="str">
        <x:v>A is the published annual HMDA county rate/share; B and C express it as a monthly level without dividing by 12.</x:v>
      </x:c>
      <x:c r="U29" s="254" t="str">
        <x:v>Same annual value in the activity-year overlap. B emits the activity year; C carries the latest cutoff-eligible release and preserves suppression/sample metadata.</x:v>
      </x:c>
      <x:c r="V29" s="254" t="str">
        <x:v>All 276 jointly populated rows equal; 420 both-null</x:v>
      </x:c>
      <x:c r="W29" s="257" t="n">
        <x:v>0</x:v>
      </x:c>
      <x:c r="X29" s="257" t="n">
        <x:v>276</x:v>
      </x:c>
      <x:c r="Y29" s="257" t="n">
        <x:v>0</x:v>
      </x:c>
      <x:c r="Z29" s="257" t="n">
        <x:v>420</x:v>
      </x:c>
      <x:c r="AA29" s="254" t="str">
        <x:v>C is null before the eligible HMDA source period and extends the latest released level into later months as a carry/nowcast.</x:v>
      </x:c>
    </x:row>
    <x:row r="30" ht="78" customHeight="1">
      <x:c r="A30" s="254" t="str">
        <x:v>hmda_property_value_weighted_downpayment_rate_va</x:v>
      </x:c>
      <x:c r="B30" s="254" t="str">
        <x:v>HMDA property-value-weighted down-payment rate - VA</x:v>
      </x:c>
      <x:c r="C30" s="264" t="str">
        <x:v>HMDA rates and threshold shares</x:v>
      </x:c>
      <x:c r="D30" s="260" t="str">
        <x:v>Shared A/B/C</x:v>
      </x:c>
      <x:c r="E30" s="254" t="str">
        <x:v>hmda_property_value_weighted_downpayment_rate_va_benchmark</x:v>
      </x:c>
      <x:c r="F30" s="254" t="str">
        <x:v>ratio</x:v>
      </x:c>
      <x:c r="G30" s="254" t="str">
        <x:v>annual -&gt; annual</x:v>
      </x:c>
      <x:c r="H30" s="254" t="str">
        <x:v>direct annual loan-type aggregation</x:v>
      </x:c>
      <x:c r="I30" s="254" t="str">
        <x:v>Partially populated
58 rows
23 non-null
Reference 2025-07-01; source period 2025-01-01 to 2025-12-31</x:v>
      </x:c>
      <x:c r="J30" s="254" t="str">
        <x:v>hmda_property_value_weighted_downpayment_rate_va_monthly_hist</x:v>
      </x:c>
      <x:c r="K30" s="254" t="str">
        <x:v>rate
canonical_modeled_repeat</x:v>
      </x:c>
      <x:c r="L30" s="254" t="str">
        <x:v>version_b_hmda_annual_rate_repeat_v1</x:v>
      </x:c>
      <x:c r="M30" s="254" t="str">
        <x:v>Repeat the annual county rate or share in each activity-year month without division</x:v>
      </x:c>
      <x:c r="N30" s="254" t="str">
        <x:v>Partially populated
696 rows
276 non-null
2025-01-31 to 2025-12-31</x:v>
      </x:c>
      <x:c r="O30" s="254" t="str">
        <x:v>hmda_property_value_weighted_downpayment_rate_va_monthly_rt</x:v>
      </x:c>
      <x:c r="P30" s="254" t="str">
        <x:v>rate
canonical_modeled_carry</x:v>
      </x:c>
      <x:c r="Q30" s="254" t="str">
        <x:v>version_c_latest_hmda_rate_carry_v1</x:v>
      </x:c>
      <x:c r="R30" s="254" t="str">
        <x:v>Repeat the latest eligible annual county rate or share as a monthly level without division or interpolation</x:v>
      </x:c>
      <x:c r="S30" s="254" t="str">
        <x:v>Partially populated
3,248 rows
460 non-null
2022-01-31 to 2026-08-31
Flags: 464 nowcast; 3,190 carried</x:v>
      </x:c>
      <x:c r="T30" s="254" t="str">
        <x:v>A is the published annual HMDA county rate/share; B and C express it as a monthly level without dividing by 12.</x:v>
      </x:c>
      <x:c r="U30" s="254" t="str">
        <x:v>Same annual value in the activity-year overlap. B emits the activity year; C carries the latest cutoff-eligible release and preserves suppression/sample metadata.</x:v>
      </x:c>
      <x:c r="V30" s="254" t="str">
        <x:v>All 276 jointly populated rows equal; 420 both-null</x:v>
      </x:c>
      <x:c r="W30" s="257" t="n">
        <x:v>0</x:v>
      </x:c>
      <x:c r="X30" s="257" t="n">
        <x:v>276</x:v>
      </x:c>
      <x:c r="Y30" s="257" t="n">
        <x:v>0</x:v>
      </x:c>
      <x:c r="Z30" s="257" t="n">
        <x:v>420</x:v>
      </x:c>
      <x:c r="AA30" s="254" t="str">
        <x:v>C is null before the eligible HMDA source period and extends the latest released level into later months as a carry/nowcast.</x:v>
      </x:c>
    </x:row>
    <x:row r="31" ht="78" customHeight="1">
      <x:c r="A31" s="254" t="str">
        <x:v>hmda_share_downpayment_below_3pct</x:v>
      </x:c>
      <x:c r="B31" s="254" t="str">
        <x:v>HMDA share below 3% down</x:v>
      </x:c>
      <x:c r="C31" s="264" t="str">
        <x:v>HMDA rates and threshold shares</x:v>
      </x:c>
      <x:c r="D31" s="260" t="str">
        <x:v>Shared A/B/C</x:v>
      </x:c>
      <x:c r="E31" s="254" t="str">
        <x:v>hmda_share_downpayment_below_3pct_benchmark</x:v>
      </x:c>
      <x:c r="F31" s="254" t="str">
        <x:v>ratio</x:v>
      </x:c>
      <x:c r="G31" s="254" t="str">
        <x:v>annual -&gt; annual</x:v>
      </x:c>
      <x:c r="H31" s="254" t="str">
        <x:v>direct annual share</x:v>
      </x:c>
      <x:c r="I31" s="254" t="str">
        <x:v>Partially populated
58 rows
55 non-null
Reference 2025-07-01; source period 2025-01-01 to 2025-12-31</x:v>
      </x:c>
      <x:c r="J31" s="254" t="str">
        <x:v>hmda_share_downpayment_below_3pct_monthly_hist</x:v>
      </x:c>
      <x:c r="K31" s="254" t="str">
        <x:v>share
canonical_modeled_repeat</x:v>
      </x:c>
      <x:c r="L31" s="254" t="str">
        <x:v>version_b_hmda_annual_rate_repeat_v1</x:v>
      </x:c>
      <x:c r="M31" s="254" t="str">
        <x:v>Repeat the annual county rate or share in each activity-year month without division</x:v>
      </x:c>
      <x:c r="N31" s="254" t="str">
        <x:v>Partially populated
696 rows
660 non-null
2025-01-31 to 2025-12-31</x:v>
      </x:c>
      <x:c r="O31" s="254" t="str">
        <x:v>hmda_share_downpayment_below_3pct_monthly_rt</x:v>
      </x:c>
      <x:c r="P31" s="254" t="str">
        <x:v>share
canonical_modeled_carry</x:v>
      </x:c>
      <x:c r="Q31" s="254" t="str">
        <x:v>version_c_latest_hmda_rate_carry_v1</x:v>
      </x:c>
      <x:c r="R31" s="254" t="str">
        <x:v>Repeat the latest eligible annual county rate or share as a monthly level without division or interpolation</x:v>
      </x:c>
      <x:c r="S31" s="254" t="str">
        <x:v>Partially populated
3,248 rows
1,100 non-null
2022-01-31 to 2026-08-31
Flags: 464 nowcast; 3,190 carried</x:v>
      </x:c>
      <x:c r="T31" s="254" t="str">
        <x:v>A is the published annual HMDA county rate/share; B and C express it as a monthly level without dividing by 12.</x:v>
      </x:c>
      <x:c r="U31" s="254" t="str">
        <x:v>Same annual value in the activity-year overlap. B emits the activity year; C carries the latest cutoff-eligible release and preserves suppression/sample metadata.</x:v>
      </x:c>
      <x:c r="V31" s="254" t="str">
        <x:v>All 660 jointly populated rows equal; 36 both-null</x:v>
      </x:c>
      <x:c r="W31" s="257" t="n">
        <x:v>0</x:v>
      </x:c>
      <x:c r="X31" s="257" t="n">
        <x:v>660</x:v>
      </x:c>
      <x:c r="Y31" s="257" t="n">
        <x:v>0</x:v>
      </x:c>
      <x:c r="Z31" s="257" t="n">
        <x:v>36</x:v>
      </x:c>
      <x:c r="AA31" s="254" t="str">
        <x:v>C is null before the eligible HMDA source period and extends the latest released level into later months as a carry/nowcast.</x:v>
      </x:c>
    </x:row>
    <x:row r="32" ht="78" customHeight="1">
      <x:c r="A32" s="254" t="str">
        <x:v>hmda_share_downpayment_below_5pct</x:v>
      </x:c>
      <x:c r="B32" s="254" t="str">
        <x:v>HMDA share below 5% down</x:v>
      </x:c>
      <x:c r="C32" s="264" t="str">
        <x:v>HMDA rates and threshold shares</x:v>
      </x:c>
      <x:c r="D32" s="260" t="str">
        <x:v>Shared A/B/C</x:v>
      </x:c>
      <x:c r="E32" s="254" t="str">
        <x:v>hmda_share_downpayment_below_5pct_benchmark</x:v>
      </x:c>
      <x:c r="F32" s="254" t="str">
        <x:v>ratio</x:v>
      </x:c>
      <x:c r="G32" s="254" t="str">
        <x:v>annual -&gt; annual</x:v>
      </x:c>
      <x:c r="H32" s="254" t="str">
        <x:v>direct annual share</x:v>
      </x:c>
      <x:c r="I32" s="254" t="str">
        <x:v>Partially populated
58 rows
55 non-null
Reference 2025-07-01; source period 2025-01-01 to 2025-12-31</x:v>
      </x:c>
      <x:c r="J32" s="254" t="str">
        <x:v>hmda_share_downpayment_below_5pct_monthly_hist</x:v>
      </x:c>
      <x:c r="K32" s="254" t="str">
        <x:v>share
canonical_modeled_repeat</x:v>
      </x:c>
      <x:c r="L32" s="254" t="str">
        <x:v>version_b_hmda_annual_rate_repeat_v1</x:v>
      </x:c>
      <x:c r="M32" s="254" t="str">
        <x:v>Repeat the annual county rate or share in each activity-year month without division</x:v>
      </x:c>
      <x:c r="N32" s="254" t="str">
        <x:v>Partially populated
696 rows
660 non-null
2025-01-31 to 2025-12-31</x:v>
      </x:c>
      <x:c r="O32" s="254" t="str">
        <x:v>hmda_share_downpayment_below_5pct_monthly_rt</x:v>
      </x:c>
      <x:c r="P32" s="254" t="str">
        <x:v>share
canonical_modeled_carry</x:v>
      </x:c>
      <x:c r="Q32" s="254" t="str">
        <x:v>version_c_latest_hmda_rate_carry_v1</x:v>
      </x:c>
      <x:c r="R32" s="254" t="str">
        <x:v>Repeat the latest eligible annual county rate or share as a monthly level without division or interpolation</x:v>
      </x:c>
      <x:c r="S32" s="254" t="str">
        <x:v>Partially populated
3,248 rows
1,100 non-null
2022-01-31 to 2026-08-31
Flags: 464 nowcast; 3,190 carried</x:v>
      </x:c>
      <x:c r="T32" s="254" t="str">
        <x:v>A is the published annual HMDA county rate/share; B and C express it as a monthly level without dividing by 12.</x:v>
      </x:c>
      <x:c r="U32" s="254" t="str">
        <x:v>Same annual value in the activity-year overlap. B emits the activity year; C carries the latest cutoff-eligible release and preserves suppression/sample metadata.</x:v>
      </x:c>
      <x:c r="V32" s="254" t="str">
        <x:v>All 660 jointly populated rows equal; 36 both-null</x:v>
      </x:c>
      <x:c r="W32" s="257" t="n">
        <x:v>0</x:v>
      </x:c>
      <x:c r="X32" s="257" t="n">
        <x:v>660</x:v>
      </x:c>
      <x:c r="Y32" s="257" t="n">
        <x:v>0</x:v>
      </x:c>
      <x:c r="Z32" s="257" t="n">
        <x:v>36</x:v>
      </x:c>
      <x:c r="AA32" s="254" t="str">
        <x:v>C is null before the eligible HMDA source period and extends the latest released level into later months as a carry/nowcast.</x:v>
      </x:c>
    </x:row>
    <x:row r="33" ht="78" customHeight="1">
      <x:c r="A33" s="254" t="str">
        <x:v>hmda_share_downpayment_below_10pct</x:v>
      </x:c>
      <x:c r="B33" s="254" t="str">
        <x:v>HMDA share below 10% down</x:v>
      </x:c>
      <x:c r="C33" s="264" t="str">
        <x:v>HMDA rates and threshold shares</x:v>
      </x:c>
      <x:c r="D33" s="260" t="str">
        <x:v>Shared A/B/C</x:v>
      </x:c>
      <x:c r="E33" s="254" t="str">
        <x:v>hmda_share_downpayment_below_10pct_benchmark</x:v>
      </x:c>
      <x:c r="F33" s="254" t="str">
        <x:v>ratio</x:v>
      </x:c>
      <x:c r="G33" s="254" t="str">
        <x:v>annual -&gt; annual</x:v>
      </x:c>
      <x:c r="H33" s="254" t="str">
        <x:v>direct annual share</x:v>
      </x:c>
      <x:c r="I33" s="254" t="str">
        <x:v>Partially populated
58 rows
55 non-null
Reference 2025-07-01; source period 2025-01-01 to 2025-12-31</x:v>
      </x:c>
      <x:c r="J33" s="254" t="str">
        <x:v>hmda_share_downpayment_below_10pct_monthly_hist</x:v>
      </x:c>
      <x:c r="K33" s="254" t="str">
        <x:v>share
canonical_modeled_repeat</x:v>
      </x:c>
      <x:c r="L33" s="254" t="str">
        <x:v>version_b_hmda_annual_rate_repeat_v1</x:v>
      </x:c>
      <x:c r="M33" s="254" t="str">
        <x:v>Repeat the annual county rate or share in each activity-year month without division</x:v>
      </x:c>
      <x:c r="N33" s="254" t="str">
        <x:v>Partially populated
696 rows
660 non-null
2025-01-31 to 2025-12-31</x:v>
      </x:c>
      <x:c r="O33" s="254" t="str">
        <x:v>hmda_share_downpayment_below_10pct_monthly_rt</x:v>
      </x:c>
      <x:c r="P33" s="254" t="str">
        <x:v>share
canonical_modeled_carry</x:v>
      </x:c>
      <x:c r="Q33" s="254" t="str">
        <x:v>version_c_latest_hmda_rate_carry_v1</x:v>
      </x:c>
      <x:c r="R33" s="254" t="str">
        <x:v>Repeat the latest eligible annual county rate or share as a monthly level without division or interpolation</x:v>
      </x:c>
      <x:c r="S33" s="254" t="str">
        <x:v>Partially populated
3,248 rows
1,100 non-null
2022-01-31 to 2026-08-31
Flags: 464 nowcast; 3,190 carried</x:v>
      </x:c>
      <x:c r="T33" s="254" t="str">
        <x:v>A is the published annual HMDA county rate/share; B and C express it as a monthly level without dividing by 12.</x:v>
      </x:c>
      <x:c r="U33" s="254" t="str">
        <x:v>Same annual value in the activity-year overlap. B emits the activity year; C carries the latest cutoff-eligible release and preserves suppression/sample metadata.</x:v>
      </x:c>
      <x:c r="V33" s="254" t="str">
        <x:v>All 660 jointly populated rows equal; 36 both-null</x:v>
      </x:c>
      <x:c r="W33" s="257" t="n">
        <x:v>0</x:v>
      </x:c>
      <x:c r="X33" s="257" t="n">
        <x:v>660</x:v>
      </x:c>
      <x:c r="Y33" s="257" t="n">
        <x:v>0</x:v>
      </x:c>
      <x:c r="Z33" s="257" t="n">
        <x:v>36</x:v>
      </x:c>
      <x:c r="AA33" s="254" t="str">
        <x:v>C is null before the eligible HMDA source period and extends the latest released level into later months as a carry/nowcast.</x:v>
      </x:c>
    </x:row>
    <x:row r="34" ht="78" customHeight="1">
      <x:c r="A34" s="254" t="str">
        <x:v>hmda_share_downpayment_below_20pct</x:v>
      </x:c>
      <x:c r="B34" s="254" t="str">
        <x:v>HMDA share below 20% down</x:v>
      </x:c>
      <x:c r="C34" s="264" t="str">
        <x:v>HMDA rates and threshold shares</x:v>
      </x:c>
      <x:c r="D34" s="260" t="str">
        <x:v>Shared A/B/C</x:v>
      </x:c>
      <x:c r="E34" s="254" t="str">
        <x:v>hmda_share_downpayment_below_20pct_benchmark</x:v>
      </x:c>
      <x:c r="F34" s="254" t="str">
        <x:v>ratio</x:v>
      </x:c>
      <x:c r="G34" s="254" t="str">
        <x:v>annual -&gt; annual</x:v>
      </x:c>
      <x:c r="H34" s="254" t="str">
        <x:v>direct annual share</x:v>
      </x:c>
      <x:c r="I34" s="254" t="str">
        <x:v>Partially populated
58 rows
55 non-null
Reference 2025-07-01; source period 2025-01-01 to 2025-12-31</x:v>
      </x:c>
      <x:c r="J34" s="254" t="str">
        <x:v>hmda_share_downpayment_below_20pct_monthly_hist</x:v>
      </x:c>
      <x:c r="K34" s="254" t="str">
        <x:v>share
canonical_modeled_repeat</x:v>
      </x:c>
      <x:c r="L34" s="254" t="str">
        <x:v>version_b_hmda_annual_rate_repeat_v1</x:v>
      </x:c>
      <x:c r="M34" s="254" t="str">
        <x:v>Repeat the annual county rate or share in each activity-year month without division</x:v>
      </x:c>
      <x:c r="N34" s="254" t="str">
        <x:v>Partially populated
696 rows
660 non-null
2025-01-31 to 2025-12-31</x:v>
      </x:c>
      <x:c r="O34" s="254" t="str">
        <x:v>hmda_share_downpayment_below_20pct_monthly_rt</x:v>
      </x:c>
      <x:c r="P34" s="254" t="str">
        <x:v>share
canonical_modeled_carry</x:v>
      </x:c>
      <x:c r="Q34" s="254" t="str">
        <x:v>version_c_latest_hmda_rate_carry_v1</x:v>
      </x:c>
      <x:c r="R34" s="254" t="str">
        <x:v>Repeat the latest eligible annual county rate or share as a monthly level without division or interpolation</x:v>
      </x:c>
      <x:c r="S34" s="254" t="str">
        <x:v>Partially populated
3,248 rows
1,100 non-null
2022-01-31 to 2026-08-31
Flags: 464 nowcast; 3,190 carried</x:v>
      </x:c>
      <x:c r="T34" s="254" t="str">
        <x:v>A is the published annual HMDA county rate/share; B and C express it as a monthly level without dividing by 12.</x:v>
      </x:c>
      <x:c r="U34" s="254" t="str">
        <x:v>Same annual value in the activity-year overlap. B emits the activity year; C carries the latest cutoff-eligible release and preserves suppression/sample metadata.</x:v>
      </x:c>
      <x:c r="V34" s="254" t="str">
        <x:v>All 660 jointly populated rows equal; 36 both-null</x:v>
      </x:c>
      <x:c r="W34" s="257" t="n">
        <x:v>0</x:v>
      </x:c>
      <x:c r="X34" s="257" t="n">
        <x:v>660</x:v>
      </x:c>
      <x:c r="Y34" s="257" t="n">
        <x:v>0</x:v>
      </x:c>
      <x:c r="Z34" s="257" t="n">
        <x:v>36</x:v>
      </x:c>
      <x:c r="AA34" s="254" t="str">
        <x:v>C is null before the eligible HMDA source period and extends the latest released level into later months as a carry/nowcast.</x:v>
      </x:c>
    </x:row>
    <x:row r="35" ht="78" customHeight="1">
      <x:c r="A35" s="254" t="str">
        <x:v>hmda_share_downpayment_below_3pct_conventional</x:v>
      </x:c>
      <x:c r="B35" s="254" t="str">
        <x:v>HMDA conventional share below 3% down</x:v>
      </x:c>
      <x:c r="C35" s="264" t="str">
        <x:v>HMDA rates and threshold shares</x:v>
      </x:c>
      <x:c r="D35" s="260" t="str">
        <x:v>Shared A/B/C</x:v>
      </x:c>
      <x:c r="E35" s="254" t="str">
        <x:v>hmda_share_downpayment_below_3pct_conventional_benchmark</x:v>
      </x:c>
      <x:c r="F35" s="254" t="str">
        <x:v>ratio</x:v>
      </x:c>
      <x:c r="G35" s="254" t="str">
        <x:v>annual -&gt; annual</x:v>
      </x:c>
      <x:c r="H35" s="254" t="str">
        <x:v>direct annual loan-type share</x:v>
      </x:c>
      <x:c r="I35" s="254" t="str">
        <x:v>Partially populated
58 rows
46 non-null
Reference 2025-07-01; source period 2025-01-01 to 2025-12-31</x:v>
      </x:c>
      <x:c r="J35" s="254" t="str">
        <x:v>hmda_share_downpayment_below_3pct_conventional_monthly_hist</x:v>
      </x:c>
      <x:c r="K35" s="254" t="str">
        <x:v>share
canonical_modeled_repeat</x:v>
      </x:c>
      <x:c r="L35" s="254" t="str">
        <x:v>version_b_hmda_annual_rate_repeat_v1</x:v>
      </x:c>
      <x:c r="M35" s="254" t="str">
        <x:v>Repeat the annual county rate or share in each activity-year month without division</x:v>
      </x:c>
      <x:c r="N35" s="254" t="str">
        <x:v>Partially populated
696 rows
552 non-null
2025-01-31 to 2025-12-31</x:v>
      </x:c>
      <x:c r="O35" s="254" t="str">
        <x:v>hmda_share_downpayment_below_3pct_conventional_monthly_rt</x:v>
      </x:c>
      <x:c r="P35" s="254" t="str">
        <x:v>share
canonical_modeled_carry</x:v>
      </x:c>
      <x:c r="Q35" s="254" t="str">
        <x:v>version_c_latest_hmda_rate_carry_v1</x:v>
      </x:c>
      <x:c r="R35" s="254" t="str">
        <x:v>Repeat the latest eligible annual county rate or share as a monthly level without division or interpolation</x:v>
      </x:c>
      <x:c r="S35" s="254" t="str">
        <x:v>Partially populated
3,248 rows
920 non-null
2022-01-31 to 2026-08-31
Flags: 464 nowcast; 3,190 carried</x:v>
      </x:c>
      <x:c r="T35" s="254" t="str">
        <x:v>A is the published annual HMDA county rate/share; B and C express it as a monthly level without dividing by 12.</x:v>
      </x:c>
      <x:c r="U35" s="254" t="str">
        <x:v>Same annual value in the activity-year overlap. B emits the activity year; C carries the latest cutoff-eligible release and preserves suppression/sample metadata.</x:v>
      </x:c>
      <x:c r="V35" s="254" t="str">
        <x:v>All 552 jointly populated rows equal; 144 both-null</x:v>
      </x:c>
      <x:c r="W35" s="257" t="n">
        <x:v>0</x:v>
      </x:c>
      <x:c r="X35" s="257" t="n">
        <x:v>552</x:v>
      </x:c>
      <x:c r="Y35" s="257" t="n">
        <x:v>0</x:v>
      </x:c>
      <x:c r="Z35" s="257" t="n">
        <x:v>144</x:v>
      </x:c>
      <x:c r="AA35" s="254" t="str">
        <x:v>C is null before the eligible HMDA source period and extends the latest released level into later months as a carry/nowcast.</x:v>
      </x:c>
    </x:row>
    <x:row r="36" ht="78" customHeight="1">
      <x:c r="A36" s="254" t="str">
        <x:v>hmda_share_downpayment_below_5pct_conventional</x:v>
      </x:c>
      <x:c r="B36" s="254" t="str">
        <x:v>HMDA conventional share below 5% down</x:v>
      </x:c>
      <x:c r="C36" s="264" t="str">
        <x:v>HMDA rates and threshold shares</x:v>
      </x:c>
      <x:c r="D36" s="260" t="str">
        <x:v>Shared A/B/C</x:v>
      </x:c>
      <x:c r="E36" s="254" t="str">
        <x:v>hmda_share_downpayment_below_5pct_conventional_benchmark</x:v>
      </x:c>
      <x:c r="F36" s="254" t="str">
        <x:v>ratio</x:v>
      </x:c>
      <x:c r="G36" s="254" t="str">
        <x:v>annual -&gt; annual</x:v>
      </x:c>
      <x:c r="H36" s="254" t="str">
        <x:v>direct annual loan-type share</x:v>
      </x:c>
      <x:c r="I36" s="254" t="str">
        <x:v>Partially populated
58 rows
46 non-null
Reference 2025-07-01; source period 2025-01-01 to 2025-12-31</x:v>
      </x:c>
      <x:c r="J36" s="254" t="str">
        <x:v>hmda_share_downpayment_below_5pct_conventional_monthly_hist</x:v>
      </x:c>
      <x:c r="K36" s="254" t="str">
        <x:v>share
canonical_modeled_repeat</x:v>
      </x:c>
      <x:c r="L36" s="254" t="str">
        <x:v>version_b_hmda_annual_rate_repeat_v1</x:v>
      </x:c>
      <x:c r="M36" s="254" t="str">
        <x:v>Repeat the annual county rate or share in each activity-year month without division</x:v>
      </x:c>
      <x:c r="N36" s="254" t="str">
        <x:v>Partially populated
696 rows
552 non-null
2025-01-31 to 2025-12-31</x:v>
      </x:c>
      <x:c r="O36" s="254" t="str">
        <x:v>hmda_share_downpayment_below_5pct_conventional_monthly_rt</x:v>
      </x:c>
      <x:c r="P36" s="254" t="str">
        <x:v>share
canonical_modeled_carry</x:v>
      </x:c>
      <x:c r="Q36" s="254" t="str">
        <x:v>version_c_latest_hmda_rate_carry_v1</x:v>
      </x:c>
      <x:c r="R36" s="254" t="str">
        <x:v>Repeat the latest eligible annual county rate or share as a monthly level without division or interpolation</x:v>
      </x:c>
      <x:c r="S36" s="254" t="str">
        <x:v>Partially populated
3,248 rows
920 non-null
2022-01-31 to 2026-08-31
Flags: 464 nowcast; 3,190 carried</x:v>
      </x:c>
      <x:c r="T36" s="254" t="str">
        <x:v>A is the published annual HMDA county rate/share; B and C express it as a monthly level without dividing by 12.</x:v>
      </x:c>
      <x:c r="U36" s="254" t="str">
        <x:v>Same annual value in the activity-year overlap. B emits the activity year; C carries the latest cutoff-eligible release and preserves suppression/sample metadata.</x:v>
      </x:c>
      <x:c r="V36" s="254" t="str">
        <x:v>All 552 jointly populated rows equal; 144 both-null</x:v>
      </x:c>
      <x:c r="W36" s="257" t="n">
        <x:v>0</x:v>
      </x:c>
      <x:c r="X36" s="257" t="n">
        <x:v>552</x:v>
      </x:c>
      <x:c r="Y36" s="257" t="n">
        <x:v>0</x:v>
      </x:c>
      <x:c r="Z36" s="257" t="n">
        <x:v>144</x:v>
      </x:c>
      <x:c r="AA36" s="254" t="str">
        <x:v>C is null before the eligible HMDA source period and extends the latest released level into later months as a carry/nowcast.</x:v>
      </x:c>
    </x:row>
    <x:row r="37" ht="78" customHeight="1">
      <x:c r="A37" s="254" t="str">
        <x:v>hmda_share_downpayment_below_10pct_conventional</x:v>
      </x:c>
      <x:c r="B37" s="254" t="str">
        <x:v>HMDA conventional share below 10% down</x:v>
      </x:c>
      <x:c r="C37" s="264" t="str">
        <x:v>HMDA rates and threshold shares</x:v>
      </x:c>
      <x:c r="D37" s="260" t="str">
        <x:v>Shared A/B/C</x:v>
      </x:c>
      <x:c r="E37" s="254" t="str">
        <x:v>hmda_share_downpayment_below_10pct_conventional_benchmark</x:v>
      </x:c>
      <x:c r="F37" s="254" t="str">
        <x:v>ratio</x:v>
      </x:c>
      <x:c r="G37" s="254" t="str">
        <x:v>annual -&gt; annual</x:v>
      </x:c>
      <x:c r="H37" s="254" t="str">
        <x:v>direct annual loan-type share</x:v>
      </x:c>
      <x:c r="I37" s="254" t="str">
        <x:v>Partially populated
58 rows
46 non-null
Reference 2025-07-01; source period 2025-01-01 to 2025-12-31</x:v>
      </x:c>
      <x:c r="J37" s="254" t="str">
        <x:v>hmda_share_downpayment_below_10pct_conventional_monthly_hist</x:v>
      </x:c>
      <x:c r="K37" s="254" t="str">
        <x:v>share
canonical_modeled_repeat</x:v>
      </x:c>
      <x:c r="L37" s="254" t="str">
        <x:v>version_b_hmda_annual_rate_repeat_v1</x:v>
      </x:c>
      <x:c r="M37" s="254" t="str">
        <x:v>Repeat the annual county rate or share in each activity-year month without division</x:v>
      </x:c>
      <x:c r="N37" s="254" t="str">
        <x:v>Partially populated
696 rows
552 non-null
2025-01-31 to 2025-12-31</x:v>
      </x:c>
      <x:c r="O37" s="254" t="str">
        <x:v>hmda_share_downpayment_below_10pct_conventional_monthly_rt</x:v>
      </x:c>
      <x:c r="P37" s="254" t="str">
        <x:v>share
canonical_modeled_carry</x:v>
      </x:c>
      <x:c r="Q37" s="254" t="str">
        <x:v>version_c_latest_hmda_rate_carry_v1</x:v>
      </x:c>
      <x:c r="R37" s="254" t="str">
        <x:v>Repeat the latest eligible annual county rate or share as a monthly level without division or interpolation</x:v>
      </x:c>
      <x:c r="S37" s="254" t="str">
        <x:v>Partially populated
3,248 rows
920 non-null
2022-01-31 to 2026-08-31
Flags: 464 nowcast; 3,190 carried</x:v>
      </x:c>
      <x:c r="T37" s="254" t="str">
        <x:v>A is the published annual HMDA county rate/share; B and C express it as a monthly level without dividing by 12.</x:v>
      </x:c>
      <x:c r="U37" s="254" t="str">
        <x:v>Same annual value in the activity-year overlap. B emits the activity year; C carries the latest cutoff-eligible release and preserves suppression/sample metadata.</x:v>
      </x:c>
      <x:c r="V37" s="254" t="str">
        <x:v>All 552 jointly populated rows equal; 144 both-null</x:v>
      </x:c>
      <x:c r="W37" s="257" t="n">
        <x:v>0</x:v>
      </x:c>
      <x:c r="X37" s="257" t="n">
        <x:v>552</x:v>
      </x:c>
      <x:c r="Y37" s="257" t="n">
        <x:v>0</x:v>
      </x:c>
      <x:c r="Z37" s="257" t="n">
        <x:v>144</x:v>
      </x:c>
      <x:c r="AA37" s="254" t="str">
        <x:v>C is null before the eligible HMDA source period and extends the latest released level into later months as a carry/nowcast.</x:v>
      </x:c>
    </x:row>
    <x:row r="38" ht="78" customHeight="1">
      <x:c r="A38" s="254" t="str">
        <x:v>hmda_share_downpayment_below_20pct_conventional</x:v>
      </x:c>
      <x:c r="B38" s="254" t="str">
        <x:v>HMDA conventional share below 20% down</x:v>
      </x:c>
      <x:c r="C38" s="264" t="str">
        <x:v>HMDA rates and threshold shares</x:v>
      </x:c>
      <x:c r="D38" s="260" t="str">
        <x:v>Shared A/B/C</x:v>
      </x:c>
      <x:c r="E38" s="254" t="str">
        <x:v>hmda_share_downpayment_below_20pct_conventional_benchmark</x:v>
      </x:c>
      <x:c r="F38" s="254" t="str">
        <x:v>ratio</x:v>
      </x:c>
      <x:c r="G38" s="254" t="str">
        <x:v>annual -&gt; annual</x:v>
      </x:c>
      <x:c r="H38" s="254" t="str">
        <x:v>direct annual loan-type share</x:v>
      </x:c>
      <x:c r="I38" s="254" t="str">
        <x:v>Partially populated
58 rows
46 non-null
Reference 2025-07-01; source period 2025-01-01 to 2025-12-31</x:v>
      </x:c>
      <x:c r="J38" s="254" t="str">
        <x:v>hmda_share_downpayment_below_20pct_conventional_monthly_hist</x:v>
      </x:c>
      <x:c r="K38" s="254" t="str">
        <x:v>share
canonical_modeled_repeat</x:v>
      </x:c>
      <x:c r="L38" s="254" t="str">
        <x:v>version_b_hmda_annual_rate_repeat_v1</x:v>
      </x:c>
      <x:c r="M38" s="254" t="str">
        <x:v>Repeat the annual county rate or share in each activity-year month without division</x:v>
      </x:c>
      <x:c r="N38" s="254" t="str">
        <x:v>Partially populated
696 rows
552 non-null
2025-01-31 to 2025-12-31</x:v>
      </x:c>
      <x:c r="O38" s="254" t="str">
        <x:v>hmda_share_downpayment_below_20pct_conventional_monthly_rt</x:v>
      </x:c>
      <x:c r="P38" s="254" t="str">
        <x:v>share
canonical_modeled_carry</x:v>
      </x:c>
      <x:c r="Q38" s="254" t="str">
        <x:v>version_c_latest_hmda_rate_carry_v1</x:v>
      </x:c>
      <x:c r="R38" s="254" t="str">
        <x:v>Repeat the latest eligible annual county rate or share as a monthly level without division or interpolation</x:v>
      </x:c>
      <x:c r="S38" s="254" t="str">
        <x:v>Partially populated
3,248 rows
920 non-null
2022-01-31 to 2026-08-31
Flags: 464 nowcast; 3,190 carried</x:v>
      </x:c>
      <x:c r="T38" s="254" t="str">
        <x:v>A is the published annual HMDA county rate/share; B and C express it as a monthly level without dividing by 12.</x:v>
      </x:c>
      <x:c r="U38" s="254" t="str">
        <x:v>Same annual value in the activity-year overlap. B emits the activity year; C carries the latest cutoff-eligible release and preserves suppression/sample metadata.</x:v>
      </x:c>
      <x:c r="V38" s="254" t="str">
        <x:v>All 552 jointly populated rows equal; 144 both-null</x:v>
      </x:c>
      <x:c r="W38" s="257" t="n">
        <x:v>0</x:v>
      </x:c>
      <x:c r="X38" s="257" t="n">
        <x:v>552</x:v>
      </x:c>
      <x:c r="Y38" s="257" t="n">
        <x:v>0</x:v>
      </x:c>
      <x:c r="Z38" s="257" t="n">
        <x:v>144</x:v>
      </x:c>
      <x:c r="AA38" s="254" t="str">
        <x:v>C is null before the eligible HMDA source period and extends the latest released level into later months as a carry/nowcast.</x:v>
      </x:c>
    </x:row>
    <x:row r="39" ht="78" customHeight="1">
      <x:c r="A39" s="254" t="str">
        <x:v>hmda_share_downpayment_below_3pct_fha</x:v>
      </x:c>
      <x:c r="B39" s="254" t="str">
        <x:v>HMDA FHA share below 3% down</x:v>
      </x:c>
      <x:c r="C39" s="264" t="str">
        <x:v>HMDA rates and threshold shares</x:v>
      </x:c>
      <x:c r="D39" s="260" t="str">
        <x:v>Shared A/B/C</x:v>
      </x:c>
      <x:c r="E39" s="254" t="str">
        <x:v>hmda_share_downpayment_below_3pct_fha_benchmark</x:v>
      </x:c>
      <x:c r="F39" s="254" t="str">
        <x:v>ratio</x:v>
      </x:c>
      <x:c r="G39" s="254" t="str">
        <x:v>annual -&gt; annual</x:v>
      </x:c>
      <x:c r="H39" s="254" t="str">
        <x:v>direct annual loan-type share</x:v>
      </x:c>
      <x:c r="I39" s="254" t="str">
        <x:v>Partially populated
58 rows
39 non-null
Reference 2025-07-01; source period 2025-01-01 to 2025-12-31</x:v>
      </x:c>
      <x:c r="J39" s="254" t="str">
        <x:v>hmda_share_downpayment_below_3pct_fha_monthly_hist</x:v>
      </x:c>
      <x:c r="K39" s="254" t="str">
        <x:v>share
canonical_modeled_repeat</x:v>
      </x:c>
      <x:c r="L39" s="254" t="str">
        <x:v>version_b_hmda_annual_rate_repeat_v1</x:v>
      </x:c>
      <x:c r="M39" s="254" t="str">
        <x:v>Repeat the annual county rate or share in each activity-year month without division</x:v>
      </x:c>
      <x:c r="N39" s="254" t="str">
        <x:v>Partially populated
696 rows
468 non-null
2025-01-31 to 2025-12-31</x:v>
      </x:c>
      <x:c r="O39" s="254" t="str">
        <x:v>hmda_share_downpayment_below_3pct_fha_monthly_rt</x:v>
      </x:c>
      <x:c r="P39" s="254" t="str">
        <x:v>share
canonical_modeled_carry</x:v>
      </x:c>
      <x:c r="Q39" s="254" t="str">
        <x:v>version_c_latest_hmda_rate_carry_v1</x:v>
      </x:c>
      <x:c r="R39" s="254" t="str">
        <x:v>Repeat the latest eligible annual county rate or share as a monthly level without division or interpolation</x:v>
      </x:c>
      <x:c r="S39" s="254" t="str">
        <x:v>Partially populated
3,248 rows
780 non-null
2022-01-31 to 2026-08-31
Flags: 464 nowcast; 3,190 carried</x:v>
      </x:c>
      <x:c r="T39" s="254" t="str">
        <x:v>A is the published annual HMDA county rate/share; B and C express it as a monthly level without dividing by 12.</x:v>
      </x:c>
      <x:c r="U39" s="254" t="str">
        <x:v>Same annual value in the activity-year overlap. B emits the activity year; C carries the latest cutoff-eligible release and preserves suppression/sample metadata.</x:v>
      </x:c>
      <x:c r="V39" s="254" t="str">
        <x:v>All 468 jointly populated rows equal; 228 both-null</x:v>
      </x:c>
      <x:c r="W39" s="257" t="n">
        <x:v>0</x:v>
      </x:c>
      <x:c r="X39" s="257" t="n">
        <x:v>468</x:v>
      </x:c>
      <x:c r="Y39" s="257" t="n">
        <x:v>0</x:v>
      </x:c>
      <x:c r="Z39" s="257" t="n">
        <x:v>228</x:v>
      </x:c>
      <x:c r="AA39" s="254" t="str">
        <x:v>C is null before the eligible HMDA source period and extends the latest released level into later months as a carry/nowcast.</x:v>
      </x:c>
    </x:row>
    <x:row r="40" ht="78" customHeight="1">
      <x:c r="A40" s="254" t="str">
        <x:v>hmda_share_downpayment_below_5pct_fha</x:v>
      </x:c>
      <x:c r="B40" s="254" t="str">
        <x:v>HMDA FHA share below 5% down</x:v>
      </x:c>
      <x:c r="C40" s="264" t="str">
        <x:v>HMDA rates and threshold shares</x:v>
      </x:c>
      <x:c r="D40" s="260" t="str">
        <x:v>Shared A/B/C</x:v>
      </x:c>
      <x:c r="E40" s="254" t="str">
        <x:v>hmda_share_downpayment_below_5pct_fha_benchmark</x:v>
      </x:c>
      <x:c r="F40" s="254" t="str">
        <x:v>ratio</x:v>
      </x:c>
      <x:c r="G40" s="254" t="str">
        <x:v>annual -&gt; annual</x:v>
      </x:c>
      <x:c r="H40" s="254" t="str">
        <x:v>direct annual loan-type share</x:v>
      </x:c>
      <x:c r="I40" s="254" t="str">
        <x:v>Partially populated
58 rows
39 non-null
Reference 2025-07-01; source period 2025-01-01 to 2025-12-31</x:v>
      </x:c>
      <x:c r="J40" s="254" t="str">
        <x:v>hmda_share_downpayment_below_5pct_fha_monthly_hist</x:v>
      </x:c>
      <x:c r="K40" s="254" t="str">
        <x:v>share
canonical_modeled_repeat</x:v>
      </x:c>
      <x:c r="L40" s="254" t="str">
        <x:v>version_b_hmda_annual_rate_repeat_v1</x:v>
      </x:c>
      <x:c r="M40" s="254" t="str">
        <x:v>Repeat the annual county rate or share in each activity-year month without division</x:v>
      </x:c>
      <x:c r="N40" s="254" t="str">
        <x:v>Partially populated
696 rows
468 non-null
2025-01-31 to 2025-12-31</x:v>
      </x:c>
      <x:c r="O40" s="254" t="str">
        <x:v>hmda_share_downpayment_below_5pct_fha_monthly_rt</x:v>
      </x:c>
      <x:c r="P40" s="254" t="str">
        <x:v>share
canonical_modeled_carry</x:v>
      </x:c>
      <x:c r="Q40" s="254" t="str">
        <x:v>version_c_latest_hmda_rate_carry_v1</x:v>
      </x:c>
      <x:c r="R40" s="254" t="str">
        <x:v>Repeat the latest eligible annual county rate or share as a monthly level without division or interpolation</x:v>
      </x:c>
      <x:c r="S40" s="254" t="str">
        <x:v>Partially populated
3,248 rows
780 non-null
2022-01-31 to 2026-08-31
Flags: 464 nowcast; 3,190 carried</x:v>
      </x:c>
      <x:c r="T40" s="254" t="str">
        <x:v>A is the published annual HMDA county rate/share; B and C express it as a monthly level without dividing by 12.</x:v>
      </x:c>
      <x:c r="U40" s="254" t="str">
        <x:v>Same annual value in the activity-year overlap. B emits the activity year; C carries the latest cutoff-eligible release and preserves suppression/sample metadata.</x:v>
      </x:c>
      <x:c r="V40" s="254" t="str">
        <x:v>All 468 jointly populated rows equal; 228 both-null</x:v>
      </x:c>
      <x:c r="W40" s="257" t="n">
        <x:v>0</x:v>
      </x:c>
      <x:c r="X40" s="257" t="n">
        <x:v>468</x:v>
      </x:c>
      <x:c r="Y40" s="257" t="n">
        <x:v>0</x:v>
      </x:c>
      <x:c r="Z40" s="257" t="n">
        <x:v>228</x:v>
      </x:c>
      <x:c r="AA40" s="254" t="str">
        <x:v>C is null before the eligible HMDA source period and extends the latest released level into later months as a carry/nowcast.</x:v>
      </x:c>
    </x:row>
    <x:row r="41" ht="78" customHeight="1">
      <x:c r="A41" s="254" t="str">
        <x:v>hmda_share_downpayment_below_10pct_fha</x:v>
      </x:c>
      <x:c r="B41" s="254" t="str">
        <x:v>HMDA FHA share below 10% down</x:v>
      </x:c>
      <x:c r="C41" s="264" t="str">
        <x:v>HMDA rates and threshold shares</x:v>
      </x:c>
      <x:c r="D41" s="260" t="str">
        <x:v>Shared A/B/C</x:v>
      </x:c>
      <x:c r="E41" s="254" t="str">
        <x:v>hmda_share_downpayment_below_10pct_fha_benchmark</x:v>
      </x:c>
      <x:c r="F41" s="254" t="str">
        <x:v>ratio</x:v>
      </x:c>
      <x:c r="G41" s="254" t="str">
        <x:v>annual -&gt; annual</x:v>
      </x:c>
      <x:c r="H41" s="254" t="str">
        <x:v>direct annual loan-type share</x:v>
      </x:c>
      <x:c r="I41" s="254" t="str">
        <x:v>Partially populated
58 rows
39 non-null
Reference 2025-07-01; source period 2025-01-01 to 2025-12-31</x:v>
      </x:c>
      <x:c r="J41" s="254" t="str">
        <x:v>hmda_share_downpayment_below_10pct_fha_monthly_hist</x:v>
      </x:c>
      <x:c r="K41" s="254" t="str">
        <x:v>share
canonical_modeled_repeat</x:v>
      </x:c>
      <x:c r="L41" s="254" t="str">
        <x:v>version_b_hmda_annual_rate_repeat_v1</x:v>
      </x:c>
      <x:c r="M41" s="254" t="str">
        <x:v>Repeat the annual county rate or share in each activity-year month without division</x:v>
      </x:c>
      <x:c r="N41" s="254" t="str">
        <x:v>Partially populated
696 rows
468 non-null
2025-01-31 to 2025-12-31</x:v>
      </x:c>
      <x:c r="O41" s="254" t="str">
        <x:v>hmda_share_downpayment_below_10pct_fha_monthly_rt</x:v>
      </x:c>
      <x:c r="P41" s="254" t="str">
        <x:v>share
canonical_modeled_carry</x:v>
      </x:c>
      <x:c r="Q41" s="254" t="str">
        <x:v>version_c_latest_hmda_rate_carry_v1</x:v>
      </x:c>
      <x:c r="R41" s="254" t="str">
        <x:v>Repeat the latest eligible annual county rate or share as a monthly level without division or interpolation</x:v>
      </x:c>
      <x:c r="S41" s="254" t="str">
        <x:v>Partially populated
3,248 rows
780 non-null
2022-01-31 to 2026-08-31
Flags: 464 nowcast; 3,190 carried</x:v>
      </x:c>
      <x:c r="T41" s="254" t="str">
        <x:v>A is the published annual HMDA county rate/share; B and C express it as a monthly level without dividing by 12.</x:v>
      </x:c>
      <x:c r="U41" s="254" t="str">
        <x:v>Same annual value in the activity-year overlap. B emits the activity year; C carries the latest cutoff-eligible release and preserves suppression/sample metadata.</x:v>
      </x:c>
      <x:c r="V41" s="254" t="str">
        <x:v>All 468 jointly populated rows equal; 228 both-null</x:v>
      </x:c>
      <x:c r="W41" s="257" t="n">
        <x:v>0</x:v>
      </x:c>
      <x:c r="X41" s="257" t="n">
        <x:v>468</x:v>
      </x:c>
      <x:c r="Y41" s="257" t="n">
        <x:v>0</x:v>
      </x:c>
      <x:c r="Z41" s="257" t="n">
        <x:v>228</x:v>
      </x:c>
      <x:c r="AA41" s="254" t="str">
        <x:v>C is null before the eligible HMDA source period and extends the latest released level into later months as a carry/nowcast.</x:v>
      </x:c>
    </x:row>
    <x:row r="42" ht="78" customHeight="1">
      <x:c r="A42" s="254" t="str">
        <x:v>hmda_share_downpayment_below_20pct_fha</x:v>
      </x:c>
      <x:c r="B42" s="254" t="str">
        <x:v>HMDA FHA share below 20% down</x:v>
      </x:c>
      <x:c r="C42" s="264" t="str">
        <x:v>HMDA rates and threshold shares</x:v>
      </x:c>
      <x:c r="D42" s="260" t="str">
        <x:v>Shared A/B/C</x:v>
      </x:c>
      <x:c r="E42" s="254" t="str">
        <x:v>hmda_share_downpayment_below_20pct_fha_benchmark</x:v>
      </x:c>
      <x:c r="F42" s="254" t="str">
        <x:v>ratio</x:v>
      </x:c>
      <x:c r="G42" s="254" t="str">
        <x:v>annual -&gt; annual</x:v>
      </x:c>
      <x:c r="H42" s="254" t="str">
        <x:v>direct annual loan-type share</x:v>
      </x:c>
      <x:c r="I42" s="254" t="str">
        <x:v>Partially populated
58 rows
39 non-null
Reference 2025-07-01; source period 2025-01-01 to 2025-12-31</x:v>
      </x:c>
      <x:c r="J42" s="254" t="str">
        <x:v>hmda_share_downpayment_below_20pct_fha_monthly_hist</x:v>
      </x:c>
      <x:c r="K42" s="254" t="str">
        <x:v>share
canonical_modeled_repeat</x:v>
      </x:c>
      <x:c r="L42" s="254" t="str">
        <x:v>version_b_hmda_annual_rate_repeat_v1</x:v>
      </x:c>
      <x:c r="M42" s="254" t="str">
        <x:v>Repeat the annual county rate or share in each activity-year month without division</x:v>
      </x:c>
      <x:c r="N42" s="254" t="str">
        <x:v>Partially populated
696 rows
468 non-null
2025-01-31 to 2025-12-31</x:v>
      </x:c>
      <x:c r="O42" s="254" t="str">
        <x:v>hmda_share_downpayment_below_20pct_fha_monthly_rt</x:v>
      </x:c>
      <x:c r="P42" s="254" t="str">
        <x:v>share
canonical_modeled_carry</x:v>
      </x:c>
      <x:c r="Q42" s="254" t="str">
        <x:v>version_c_latest_hmda_rate_carry_v1</x:v>
      </x:c>
      <x:c r="R42" s="254" t="str">
        <x:v>Repeat the latest eligible annual county rate or share as a monthly level without division or interpolation</x:v>
      </x:c>
      <x:c r="S42" s="254" t="str">
        <x:v>Partially populated
3,248 rows
780 non-null
2022-01-31 to 2026-08-31
Flags: 464 nowcast; 3,190 carried</x:v>
      </x:c>
      <x:c r="T42" s="254" t="str">
        <x:v>A is the published annual HMDA county rate/share; B and C express it as a monthly level without dividing by 12.</x:v>
      </x:c>
      <x:c r="U42" s="254" t="str">
        <x:v>Same annual value in the activity-year overlap. B emits the activity year; C carries the latest cutoff-eligible release and preserves suppression/sample metadata.</x:v>
      </x:c>
      <x:c r="V42" s="254" t="str">
        <x:v>All 468 jointly populated rows equal; 228 both-null</x:v>
      </x:c>
      <x:c r="W42" s="257" t="n">
        <x:v>0</x:v>
      </x:c>
      <x:c r="X42" s="257" t="n">
        <x:v>468</x:v>
      </x:c>
      <x:c r="Y42" s="257" t="n">
        <x:v>0</x:v>
      </x:c>
      <x:c r="Z42" s="257" t="n">
        <x:v>228</x:v>
      </x:c>
      <x:c r="AA42" s="254" t="str">
        <x:v>C is null before the eligible HMDA source period and extends the latest released level into later months as a carry/nowcast.</x:v>
      </x:c>
    </x:row>
    <x:row r="43" ht="78" customHeight="1">
      <x:c r="A43" s="254" t="str">
        <x:v>hmda_share_downpayment_below_3pct_va</x:v>
      </x:c>
      <x:c r="B43" s="254" t="str">
        <x:v>HMDA VA share below 3% down</x:v>
      </x:c>
      <x:c r="C43" s="264" t="str">
        <x:v>HMDA rates and threshold shares</x:v>
      </x:c>
      <x:c r="D43" s="260" t="str">
        <x:v>Shared A/B/C</x:v>
      </x:c>
      <x:c r="E43" s="254" t="str">
        <x:v>hmda_share_downpayment_below_3pct_va_benchmark</x:v>
      </x:c>
      <x:c r="F43" s="254" t="str">
        <x:v>ratio</x:v>
      </x:c>
      <x:c r="G43" s="254" t="str">
        <x:v>annual -&gt; annual</x:v>
      </x:c>
      <x:c r="H43" s="254" t="str">
        <x:v>direct annual loan-type share</x:v>
      </x:c>
      <x:c r="I43" s="254" t="str">
        <x:v>Partially populated
58 rows
23 non-null
Reference 2025-07-01; source period 2025-01-01 to 2025-12-31</x:v>
      </x:c>
      <x:c r="J43" s="254" t="str">
        <x:v>hmda_share_downpayment_below_3pct_va_monthly_hist</x:v>
      </x:c>
      <x:c r="K43" s="254" t="str">
        <x:v>share
canonical_modeled_repeat</x:v>
      </x:c>
      <x:c r="L43" s="254" t="str">
        <x:v>version_b_hmda_annual_rate_repeat_v1</x:v>
      </x:c>
      <x:c r="M43" s="254" t="str">
        <x:v>Repeat the annual county rate or share in each activity-year month without division</x:v>
      </x:c>
      <x:c r="N43" s="254" t="str">
        <x:v>Partially populated
696 rows
276 non-null
2025-01-31 to 2025-12-31</x:v>
      </x:c>
      <x:c r="O43" s="254" t="str">
        <x:v>hmda_share_downpayment_below_3pct_va_monthly_rt</x:v>
      </x:c>
      <x:c r="P43" s="254" t="str">
        <x:v>share
canonical_modeled_carry</x:v>
      </x:c>
      <x:c r="Q43" s="254" t="str">
        <x:v>version_c_latest_hmda_rate_carry_v1</x:v>
      </x:c>
      <x:c r="R43" s="254" t="str">
        <x:v>Repeat the latest eligible annual county rate or share as a monthly level without division or interpolation</x:v>
      </x:c>
      <x:c r="S43" s="254" t="str">
        <x:v>Partially populated
3,248 rows
460 non-null
2022-01-31 to 2026-08-31
Flags: 464 nowcast; 3,190 carried</x:v>
      </x:c>
      <x:c r="T43" s="254" t="str">
        <x:v>A is the published annual HMDA county rate/share; B and C express it as a monthly level without dividing by 12.</x:v>
      </x:c>
      <x:c r="U43" s="254" t="str">
        <x:v>Same annual value in the activity-year overlap. B emits the activity year; C carries the latest cutoff-eligible release and preserves suppression/sample metadata.</x:v>
      </x:c>
      <x:c r="V43" s="254" t="str">
        <x:v>All 276 jointly populated rows equal; 420 both-null</x:v>
      </x:c>
      <x:c r="W43" s="257" t="n">
        <x:v>0</x:v>
      </x:c>
      <x:c r="X43" s="257" t="n">
        <x:v>276</x:v>
      </x:c>
      <x:c r="Y43" s="257" t="n">
        <x:v>0</x:v>
      </x:c>
      <x:c r="Z43" s="257" t="n">
        <x:v>420</x:v>
      </x:c>
      <x:c r="AA43" s="254" t="str">
        <x:v>C is null before the eligible HMDA source period and extends the latest released level into later months as a carry/nowcast.</x:v>
      </x:c>
    </x:row>
    <x:row r="44" ht="78" customHeight="1">
      <x:c r="A44" s="254" t="str">
        <x:v>hmda_share_downpayment_below_5pct_va</x:v>
      </x:c>
      <x:c r="B44" s="254" t="str">
        <x:v>HMDA VA share below 5% down</x:v>
      </x:c>
      <x:c r="C44" s="264" t="str">
        <x:v>HMDA rates and threshold shares</x:v>
      </x:c>
      <x:c r="D44" s="260" t="str">
        <x:v>Shared A/B/C</x:v>
      </x:c>
      <x:c r="E44" s="254" t="str">
        <x:v>hmda_share_downpayment_below_5pct_va_benchmark</x:v>
      </x:c>
      <x:c r="F44" s="254" t="str">
        <x:v>ratio</x:v>
      </x:c>
      <x:c r="G44" s="254" t="str">
        <x:v>annual -&gt; annual</x:v>
      </x:c>
      <x:c r="H44" s="254" t="str">
        <x:v>direct annual loan-type share</x:v>
      </x:c>
      <x:c r="I44" s="254" t="str">
        <x:v>Partially populated
58 rows
23 non-null
Reference 2025-07-01; source period 2025-01-01 to 2025-12-31</x:v>
      </x:c>
      <x:c r="J44" s="254" t="str">
        <x:v>hmda_share_downpayment_below_5pct_va_monthly_hist</x:v>
      </x:c>
      <x:c r="K44" s="254" t="str">
        <x:v>share
canonical_modeled_repeat</x:v>
      </x:c>
      <x:c r="L44" s="254" t="str">
        <x:v>version_b_hmda_annual_rate_repeat_v1</x:v>
      </x:c>
      <x:c r="M44" s="254" t="str">
        <x:v>Repeat the annual county rate or share in each activity-year month without division</x:v>
      </x:c>
      <x:c r="N44" s="254" t="str">
        <x:v>Partially populated
696 rows
276 non-null
2025-01-31 to 2025-12-31</x:v>
      </x:c>
      <x:c r="O44" s="254" t="str">
        <x:v>hmda_share_downpayment_below_5pct_va_monthly_rt</x:v>
      </x:c>
      <x:c r="P44" s="254" t="str">
        <x:v>share
canonical_modeled_carry</x:v>
      </x:c>
      <x:c r="Q44" s="254" t="str">
        <x:v>version_c_latest_hmda_rate_carry_v1</x:v>
      </x:c>
      <x:c r="R44" s="254" t="str">
        <x:v>Repeat the latest eligible annual county rate or share as a monthly level without division or interpolation</x:v>
      </x:c>
      <x:c r="S44" s="254" t="str">
        <x:v>Partially populated
3,248 rows
460 non-null
2022-01-31 to 2026-08-31
Flags: 464 nowcast; 3,190 carried</x:v>
      </x:c>
      <x:c r="T44" s="254" t="str">
        <x:v>A is the published annual HMDA county rate/share; B and C express it as a monthly level without dividing by 12.</x:v>
      </x:c>
      <x:c r="U44" s="254" t="str">
        <x:v>Same annual value in the activity-year overlap. B emits the activity year; C carries the latest cutoff-eligible release and preserves suppression/sample metadata.</x:v>
      </x:c>
      <x:c r="V44" s="254" t="str">
        <x:v>All 276 jointly populated rows equal; 420 both-null</x:v>
      </x:c>
      <x:c r="W44" s="257" t="n">
        <x:v>0</x:v>
      </x:c>
      <x:c r="X44" s="257" t="n">
        <x:v>276</x:v>
      </x:c>
      <x:c r="Y44" s="257" t="n">
        <x:v>0</x:v>
      </x:c>
      <x:c r="Z44" s="257" t="n">
        <x:v>420</x:v>
      </x:c>
      <x:c r="AA44" s="254" t="str">
        <x:v>C is null before the eligible HMDA source period and extends the latest released level into later months as a carry/nowcast.</x:v>
      </x:c>
    </x:row>
    <x:row r="45" ht="78" customHeight="1">
      <x:c r="A45" s="254" t="str">
        <x:v>hmda_share_downpayment_below_10pct_va</x:v>
      </x:c>
      <x:c r="B45" s="254" t="str">
        <x:v>HMDA VA share below 10% down</x:v>
      </x:c>
      <x:c r="C45" s="264" t="str">
        <x:v>HMDA rates and threshold shares</x:v>
      </x:c>
      <x:c r="D45" s="260" t="str">
        <x:v>Shared A/B/C</x:v>
      </x:c>
      <x:c r="E45" s="254" t="str">
        <x:v>hmda_share_downpayment_below_10pct_va_benchmark</x:v>
      </x:c>
      <x:c r="F45" s="254" t="str">
        <x:v>ratio</x:v>
      </x:c>
      <x:c r="G45" s="254" t="str">
        <x:v>annual -&gt; annual</x:v>
      </x:c>
      <x:c r="H45" s="254" t="str">
        <x:v>direct annual loan-type share</x:v>
      </x:c>
      <x:c r="I45" s="254" t="str">
        <x:v>Partially populated
58 rows
23 non-null
Reference 2025-07-01; source period 2025-01-01 to 2025-12-31</x:v>
      </x:c>
      <x:c r="J45" s="254" t="str">
        <x:v>hmda_share_downpayment_below_10pct_va_monthly_hist</x:v>
      </x:c>
      <x:c r="K45" s="254" t="str">
        <x:v>share
canonical_modeled_repeat</x:v>
      </x:c>
      <x:c r="L45" s="254" t="str">
        <x:v>version_b_hmda_annual_rate_repeat_v1</x:v>
      </x:c>
      <x:c r="M45" s="254" t="str">
        <x:v>Repeat the annual county rate or share in each activity-year month without division</x:v>
      </x:c>
      <x:c r="N45" s="254" t="str">
        <x:v>Partially populated
696 rows
276 non-null
2025-01-31 to 2025-12-31</x:v>
      </x:c>
      <x:c r="O45" s="254" t="str">
        <x:v>hmda_share_downpayment_below_10pct_va_monthly_rt</x:v>
      </x:c>
      <x:c r="P45" s="254" t="str">
        <x:v>share
canonical_modeled_carry</x:v>
      </x:c>
      <x:c r="Q45" s="254" t="str">
        <x:v>version_c_latest_hmda_rate_carry_v1</x:v>
      </x:c>
      <x:c r="R45" s="254" t="str">
        <x:v>Repeat the latest eligible annual county rate or share as a monthly level without division or interpolation</x:v>
      </x:c>
      <x:c r="S45" s="254" t="str">
        <x:v>Partially populated
3,248 rows
460 non-null
2022-01-31 to 2026-08-31
Flags: 464 nowcast; 3,190 carried</x:v>
      </x:c>
      <x:c r="T45" s="254" t="str">
        <x:v>A is the published annual HMDA county rate/share; B and C express it as a monthly level without dividing by 12.</x:v>
      </x:c>
      <x:c r="U45" s="254" t="str">
        <x:v>Same annual value in the activity-year overlap. B emits the activity year; C carries the latest cutoff-eligible release and preserves suppression/sample metadata.</x:v>
      </x:c>
      <x:c r="V45" s="254" t="str">
        <x:v>All 276 jointly populated rows equal; 420 both-null</x:v>
      </x:c>
      <x:c r="W45" s="257" t="n">
        <x:v>0</x:v>
      </x:c>
      <x:c r="X45" s="257" t="n">
        <x:v>276</x:v>
      </x:c>
      <x:c r="Y45" s="257" t="n">
        <x:v>0</x:v>
      </x:c>
      <x:c r="Z45" s="257" t="n">
        <x:v>420</x:v>
      </x:c>
      <x:c r="AA45" s="254" t="str">
        <x:v>C is null before the eligible HMDA source period and extends the latest released level into later months as a carry/nowcast.</x:v>
      </x:c>
    </x:row>
    <x:row r="46" ht="78" customHeight="1">
      <x:c r="A46" s="254" t="str">
        <x:v>hmda_share_downpayment_below_20pct_va</x:v>
      </x:c>
      <x:c r="B46" s="254" t="str">
        <x:v>HMDA VA share below 20% down</x:v>
      </x:c>
      <x:c r="C46" s="264" t="str">
        <x:v>HMDA rates and threshold shares</x:v>
      </x:c>
      <x:c r="D46" s="260" t="str">
        <x:v>Shared A/B/C</x:v>
      </x:c>
      <x:c r="E46" s="254" t="str">
        <x:v>hmda_share_downpayment_below_20pct_va_benchmark</x:v>
      </x:c>
      <x:c r="F46" s="254" t="str">
        <x:v>ratio</x:v>
      </x:c>
      <x:c r="G46" s="254" t="str">
        <x:v>annual -&gt; annual</x:v>
      </x:c>
      <x:c r="H46" s="254" t="str">
        <x:v>direct annual loan-type share</x:v>
      </x:c>
      <x:c r="I46" s="254" t="str">
        <x:v>Partially populated
58 rows
23 non-null
Reference 2025-07-01; source period 2025-01-01 to 2025-12-31</x:v>
      </x:c>
      <x:c r="J46" s="254" t="str">
        <x:v>hmda_share_downpayment_below_20pct_va_monthly_hist</x:v>
      </x:c>
      <x:c r="K46" s="254" t="str">
        <x:v>share
canonical_modeled_repeat</x:v>
      </x:c>
      <x:c r="L46" s="254" t="str">
        <x:v>version_b_hmda_annual_rate_repeat_v1</x:v>
      </x:c>
      <x:c r="M46" s="254" t="str">
        <x:v>Repeat the annual county rate or share in each activity-year month without division</x:v>
      </x:c>
      <x:c r="N46" s="254" t="str">
        <x:v>Partially populated
696 rows
276 non-null
2025-01-31 to 2025-12-31</x:v>
      </x:c>
      <x:c r="O46" s="254" t="str">
        <x:v>hmda_share_downpayment_below_20pct_va_monthly_rt</x:v>
      </x:c>
      <x:c r="P46" s="254" t="str">
        <x:v>share
canonical_modeled_carry</x:v>
      </x:c>
      <x:c r="Q46" s="254" t="str">
        <x:v>version_c_latest_hmda_rate_carry_v1</x:v>
      </x:c>
      <x:c r="R46" s="254" t="str">
        <x:v>Repeat the latest eligible annual county rate or share as a monthly level without division or interpolation</x:v>
      </x:c>
      <x:c r="S46" s="254" t="str">
        <x:v>Partially populated
3,248 rows
460 non-null
2022-01-31 to 2026-08-31
Flags: 464 nowcast; 3,190 carried</x:v>
      </x:c>
      <x:c r="T46" s="254" t="str">
        <x:v>A is the published annual HMDA county rate/share; B and C express it as a monthly level without dividing by 12.</x:v>
      </x:c>
      <x:c r="U46" s="254" t="str">
        <x:v>Same annual value in the activity-year overlap. B emits the activity year; C carries the latest cutoff-eligible release and preserves suppression/sample metadata.</x:v>
      </x:c>
      <x:c r="V46" s="254" t="str">
        <x:v>All 276 jointly populated rows equal; 420 both-null</x:v>
      </x:c>
      <x:c r="W46" s="257" t="n">
        <x:v>0</x:v>
      </x:c>
      <x:c r="X46" s="257" t="n">
        <x:v>276</x:v>
      </x:c>
      <x:c r="Y46" s="257" t="n">
        <x:v>0</x:v>
      </x:c>
      <x:c r="Z46" s="257" t="n">
        <x:v>420</x:v>
      </x:c>
      <x:c r="AA46" s="254" t="str">
        <x:v>C is null before the eligible HMDA source period and extends the latest released level into later months as a carry/nowcast.</x:v>
      </x:c>
    </x:row>
    <x:row r="47" ht="78" customHeight="1">
      <x:c r="A47" s="254" t="str">
        <x:v>hmda_aggregate_downpayment_flow</x:v>
      </x:c>
      <x:c r="B47" s="254" t="str">
        <x:v>HMDA aggregate down-payment flow</x:v>
      </x:c>
      <x:c r="C47" s="266" t="str">
        <x:v>Canonical HMDA flows - unavailable monthly</x:v>
      </x:c>
      <x:c r="D47" s="260" t="str">
        <x:v>Shared A/B/C</x:v>
      </x:c>
      <x:c r="E47" s="254" t="str">
        <x:v>hmda_aggregate_downpayment_flow_benchmark</x:v>
      </x:c>
      <x:c r="F47" s="254" t="str">
        <x:v>USD</x:v>
      </x:c>
      <x:c r="G47" s="254" t="str">
        <x:v>annual -&gt; annual</x:v>
      </x:c>
      <x:c r="H47" s="254" t="str">
        <x:v>direct annual aggregation</x:v>
      </x:c>
      <x:c r="I47" s="254" t="str">
        <x:v>Partially populated
58 rows
55 non-null
Reference 2025-07-01; source period 2025-01-01 to 2025-12-31</x:v>
      </x:c>
      <x:c r="J47" s="254" t="str">
        <x:v>hmda_aggregate_downpayment_flow_monthly_hist</x:v>
      </x:c>
      <x:c r="K47" s="267" t="str">
        <x:v>USD
canonical_null</x:v>
      </x:c>
      <x:c r="L47" s="267" t="str">
        <x:v>version_b_hmda_flow_unavailable_v1</x:v>
      </x:c>
      <x:c r="M47" s="267" t="str">
        <x:v>Emit explicit null canonical rows rather than substituting a proxy</x:v>
      </x:c>
      <x:c r="N47" s="267" t="str">
        <x:v>Explicit null
696 rows
0 non-null
2025-01-31 to 2025-12-31</x:v>
      </x:c>
      <x:c r="O47" s="267" t="str">
        <x:v>hmda_aggregate_downpayment_flow_monthly_rt</x:v>
      </x:c>
      <x:c r="P47" s="267" t="str">
        <x:v>USD
canonical_null</x:v>
      </x:c>
      <x:c r="Q47" s="267" t="str">
        <x:v>version_c_hmda_flow_unavailable_v1</x:v>
      </x:c>
      <x:c r="R47" s="267" t="str">
        <x:v>Emit explicit null canonical rows rather than allocating an annual flow or substituting a proxy</x:v>
      </x:c>
      <x:c r="S47" s="267" t="str">
        <x:v>Explicit null
3,248 rows
0 non-null
2022-01-31 to 2026-08-31</x:v>
      </x:c>
      <x:c r="T47" s="254" t="str">
        <x:v>A retains the annual HMDA down-payment-dollar benchmark; neither monthly version has an exact financed-purchase-dollar source.</x:v>
      </x:c>
      <x:c r="U47" s="254" t="str">
        <x:v>Same substantive result: explicit-null canonical monthly rows. C adds cutoff/vintage metadata; neither version substitutes the Redfin proxy.</x:v>
      </x:c>
      <x:c r="V47" s="254" t="str">
        <x:v>All 696 comparable rows null in both</x:v>
      </x:c>
      <x:c r="W47" s="257" t="n">
        <x:v>0</x:v>
      </x:c>
      <x:c r="X47" s="257" t="n">
        <x:v>0</x:v>
      </x:c>
      <x:c r="Y47" s="257" t="n">
        <x:v>0</x:v>
      </x:c>
      <x:c r="Z47" s="257" t="n">
        <x:v>696</x:v>
      </x:c>
      <x:c r="AA47" s="254" t="str">
        <x:v>Variable is implemented as a required null contract, not as a populated series.</x:v>
      </x:c>
    </x:row>
    <x:row r="48" ht="78" customHeight="1">
      <x:c r="A48" s="254" t="str">
        <x:v>hmda_aggregate_downpayment_flow_conventional</x:v>
      </x:c>
      <x:c r="B48" s="254" t="str">
        <x:v>HMDA aggregate down-payment flow - conventional</x:v>
      </x:c>
      <x:c r="C48" s="266" t="str">
        <x:v>Canonical HMDA flows - unavailable monthly</x:v>
      </x:c>
      <x:c r="D48" s="260" t="str">
        <x:v>Shared A/B/C</x:v>
      </x:c>
      <x:c r="E48" s="254" t="str">
        <x:v>hmda_aggregate_downpayment_flow_conventional_benchmark</x:v>
      </x:c>
      <x:c r="F48" s="254" t="str">
        <x:v>USD</x:v>
      </x:c>
      <x:c r="G48" s="254" t="str">
        <x:v>annual -&gt; annual</x:v>
      </x:c>
      <x:c r="H48" s="254" t="str">
        <x:v>direct annual loan-type aggregation</x:v>
      </x:c>
      <x:c r="I48" s="254" t="str">
        <x:v>Partially populated
58 rows
46 non-null
Reference 2025-07-01; source period 2025-01-01 to 2025-12-31</x:v>
      </x:c>
      <x:c r="J48" s="254" t="str">
        <x:v>hmda_aggregate_downpayment_flow_conventional_monthly_hist</x:v>
      </x:c>
      <x:c r="K48" s="267" t="str">
        <x:v>USD
canonical_null</x:v>
      </x:c>
      <x:c r="L48" s="267" t="str">
        <x:v>version_b_hmda_flow_unavailable_v1</x:v>
      </x:c>
      <x:c r="M48" s="267" t="str">
        <x:v>Emit explicit null canonical rows rather than substituting a proxy</x:v>
      </x:c>
      <x:c r="N48" s="267" t="str">
        <x:v>Explicit null
696 rows
0 non-null
2025-01-31 to 2025-12-31</x:v>
      </x:c>
      <x:c r="O48" s="267" t="str">
        <x:v>hmda_aggregate_downpayment_flow_conventional_monthly_rt</x:v>
      </x:c>
      <x:c r="P48" s="267" t="str">
        <x:v>USD
canonical_null</x:v>
      </x:c>
      <x:c r="Q48" s="267" t="str">
        <x:v>version_c_hmda_flow_unavailable_v1</x:v>
      </x:c>
      <x:c r="R48" s="267" t="str">
        <x:v>Emit explicit null canonical rows rather than allocating an annual flow or substituting a proxy</x:v>
      </x:c>
      <x:c r="S48" s="267" t="str">
        <x:v>Explicit null
3,248 rows
0 non-null
2022-01-31 to 2026-08-31</x:v>
      </x:c>
      <x:c r="T48" s="254" t="str">
        <x:v>A retains the annual HMDA down-payment-dollar benchmark; neither monthly version has an exact financed-purchase-dollar source.</x:v>
      </x:c>
      <x:c r="U48" s="254" t="str">
        <x:v>Same substantive result: explicit-null canonical monthly rows. C adds cutoff/vintage metadata; neither version substitutes the Redfin proxy.</x:v>
      </x:c>
      <x:c r="V48" s="254" t="str">
        <x:v>All 696 comparable rows null in both</x:v>
      </x:c>
      <x:c r="W48" s="257" t="n">
        <x:v>0</x:v>
      </x:c>
      <x:c r="X48" s="257" t="n">
        <x:v>0</x:v>
      </x:c>
      <x:c r="Y48" s="257" t="n">
        <x:v>0</x:v>
      </x:c>
      <x:c r="Z48" s="257" t="n">
        <x:v>696</x:v>
      </x:c>
      <x:c r="AA48" s="254" t="str">
        <x:v>Variable is implemented as a required null contract, not as a populated series.</x:v>
      </x:c>
    </x:row>
    <x:row r="49" ht="78" customHeight="1">
      <x:c r="A49" s="254" t="str">
        <x:v>hmda_aggregate_downpayment_flow_fha</x:v>
      </x:c>
      <x:c r="B49" s="254" t="str">
        <x:v>HMDA aggregate down-payment flow - FHA</x:v>
      </x:c>
      <x:c r="C49" s="266" t="str">
        <x:v>Canonical HMDA flows - unavailable monthly</x:v>
      </x:c>
      <x:c r="D49" s="260" t="str">
        <x:v>Shared A/B/C</x:v>
      </x:c>
      <x:c r="E49" s="254" t="str">
        <x:v>hmda_aggregate_downpayment_flow_fha_benchmark</x:v>
      </x:c>
      <x:c r="F49" s="254" t="str">
        <x:v>USD</x:v>
      </x:c>
      <x:c r="G49" s="254" t="str">
        <x:v>annual -&gt; annual</x:v>
      </x:c>
      <x:c r="H49" s="254" t="str">
        <x:v>direct annual loan-type aggregation</x:v>
      </x:c>
      <x:c r="I49" s="254" t="str">
        <x:v>Partially populated
58 rows
39 non-null
Reference 2025-07-01; source period 2025-01-01 to 2025-12-31</x:v>
      </x:c>
      <x:c r="J49" s="254" t="str">
        <x:v>hmda_aggregate_downpayment_flow_fha_monthly_hist</x:v>
      </x:c>
      <x:c r="K49" s="267" t="str">
        <x:v>USD
canonical_null</x:v>
      </x:c>
      <x:c r="L49" s="267" t="str">
        <x:v>version_b_hmda_flow_unavailable_v1</x:v>
      </x:c>
      <x:c r="M49" s="267" t="str">
        <x:v>Emit explicit null canonical rows rather than substituting a proxy</x:v>
      </x:c>
      <x:c r="N49" s="267" t="str">
        <x:v>Explicit null
696 rows
0 non-null
2025-01-31 to 2025-12-31</x:v>
      </x:c>
      <x:c r="O49" s="267" t="str">
        <x:v>hmda_aggregate_downpayment_flow_fha_monthly_rt</x:v>
      </x:c>
      <x:c r="P49" s="267" t="str">
        <x:v>USD
canonical_null</x:v>
      </x:c>
      <x:c r="Q49" s="267" t="str">
        <x:v>version_c_hmda_flow_unavailable_v1</x:v>
      </x:c>
      <x:c r="R49" s="267" t="str">
        <x:v>Emit explicit null canonical rows rather than allocating an annual flow or substituting a proxy</x:v>
      </x:c>
      <x:c r="S49" s="267" t="str">
        <x:v>Explicit null
3,248 rows
0 non-null
2022-01-31 to 2026-08-31</x:v>
      </x:c>
      <x:c r="T49" s="254" t="str">
        <x:v>A retains the annual HMDA down-payment-dollar benchmark; neither monthly version has an exact financed-purchase-dollar source.</x:v>
      </x:c>
      <x:c r="U49" s="254" t="str">
        <x:v>Same substantive result: explicit-null canonical monthly rows. C adds cutoff/vintage metadata; neither version substitutes the Redfin proxy.</x:v>
      </x:c>
      <x:c r="V49" s="254" t="str">
        <x:v>All 696 comparable rows null in both</x:v>
      </x:c>
      <x:c r="W49" s="257" t="n">
        <x:v>0</x:v>
      </x:c>
      <x:c r="X49" s="257" t="n">
        <x:v>0</x:v>
      </x:c>
      <x:c r="Y49" s="257" t="n">
        <x:v>0</x:v>
      </x:c>
      <x:c r="Z49" s="257" t="n">
        <x:v>696</x:v>
      </x:c>
      <x:c r="AA49" s="254" t="str">
        <x:v>Variable is implemented as a required null contract, not as a populated series.</x:v>
      </x:c>
    </x:row>
    <x:row r="50" ht="78" customHeight="1">
      <x:c r="A50" s="254" t="str">
        <x:v>hmda_aggregate_downpayment_flow_va</x:v>
      </x:c>
      <x:c r="B50" s="254" t="str">
        <x:v>HMDA aggregate down-payment flow - VA</x:v>
      </x:c>
      <x:c r="C50" s="266" t="str">
        <x:v>Canonical HMDA flows - unavailable monthly</x:v>
      </x:c>
      <x:c r="D50" s="260" t="str">
        <x:v>Shared A/B/C</x:v>
      </x:c>
      <x:c r="E50" s="254" t="str">
        <x:v>hmda_aggregate_downpayment_flow_va_benchmark</x:v>
      </x:c>
      <x:c r="F50" s="254" t="str">
        <x:v>USD</x:v>
      </x:c>
      <x:c r="G50" s="254" t="str">
        <x:v>annual -&gt; annual</x:v>
      </x:c>
      <x:c r="H50" s="254" t="str">
        <x:v>direct annual loan-type aggregation</x:v>
      </x:c>
      <x:c r="I50" s="254" t="str">
        <x:v>Partially populated
58 rows
23 non-null
Reference 2025-07-01; source period 2025-01-01 to 2025-12-31</x:v>
      </x:c>
      <x:c r="J50" s="254" t="str">
        <x:v>hmda_aggregate_downpayment_flow_va_monthly_hist</x:v>
      </x:c>
      <x:c r="K50" s="267" t="str">
        <x:v>USD
canonical_null</x:v>
      </x:c>
      <x:c r="L50" s="267" t="str">
        <x:v>version_b_hmda_flow_unavailable_v1</x:v>
      </x:c>
      <x:c r="M50" s="267" t="str">
        <x:v>Emit explicit null canonical rows rather than substituting a proxy</x:v>
      </x:c>
      <x:c r="N50" s="267" t="str">
        <x:v>Explicit null
696 rows
0 non-null
2025-01-31 to 2025-12-31</x:v>
      </x:c>
      <x:c r="O50" s="267" t="str">
        <x:v>hmda_aggregate_downpayment_flow_va_monthly_rt</x:v>
      </x:c>
      <x:c r="P50" s="267" t="str">
        <x:v>USD
canonical_null</x:v>
      </x:c>
      <x:c r="Q50" s="267" t="str">
        <x:v>version_c_hmda_flow_unavailable_v1</x:v>
      </x:c>
      <x:c r="R50" s="267" t="str">
        <x:v>Emit explicit null canonical rows rather than allocating an annual flow or substituting a proxy</x:v>
      </x:c>
      <x:c r="S50" s="267" t="str">
        <x:v>Explicit null
3,248 rows
0 non-null
2022-01-31 to 2026-08-31</x:v>
      </x:c>
      <x:c r="T50" s="254" t="str">
        <x:v>A retains the annual HMDA down-payment-dollar benchmark; neither monthly version has an exact financed-purchase-dollar source.</x:v>
      </x:c>
      <x:c r="U50" s="254" t="str">
        <x:v>Same substantive result: explicit-null canonical monthly rows. C adds cutoff/vintage metadata; neither version substitutes the Redfin proxy.</x:v>
      </x:c>
      <x:c r="V50" s="254" t="str">
        <x:v>All 696 comparable rows null in both</x:v>
      </x:c>
      <x:c r="W50" s="257" t="n">
        <x:v>0</x:v>
      </x:c>
      <x:c r="X50" s="257" t="n">
        <x:v>0</x:v>
      </x:c>
      <x:c r="Y50" s="257" t="n">
        <x:v>0</x:v>
      </x:c>
      <x:c r="Z50" s="257" t="n">
        <x:v>696</x:v>
      </x:c>
      <x:c r="AA50" s="254" t="str">
        <x:v>Variable is implemented as a required null contract, not as a populated series.</x:v>
      </x:c>
    </x:row>
    <x:row r="51" ht="78" customHeight="1">
      <x:c r="A51" s="254" t="str">
        <x:v>hmda_aggregate_downpayment_flow_redfin_sales_value_proxy</x:v>
      </x:c>
      <x:c r="B51" s="254" t="str">
        <x:v>HMDA aggregate down-payment flow - all eligible loans - Redfin sales-value proxy</x:v>
      </x:c>
      <x:c r="C51" s="269" t="str">
        <x:v>Redfin monthly flow proxies</x:v>
      </x:c>
      <x:c r="D51" s="269" t="str">
        <x:v>B/C monthly only</x:v>
      </x:c>
      <x:c r="E51" s="254" t="str">
        <x:v>No same-name A proxy ID
Uses anchor: hmda_aggregate_downpayment_flow_benchmark</x:v>
      </x:c>
      <x:c r="F51" s="254" t="str">
        <x:v>—</x:v>
      </x:c>
      <x:c r="G51" s="254" t="str">
        <x:v>—</x:v>
      </x:c>
      <x:c r="H51" s="254" t="str">
        <x:v>No same-name A proxy variable</x:v>
      </x:c>
      <x:c r="I51" s="254" t="str">
        <x:v>No same-name A output</x:v>
      </x:c>
      <x:c r="J51" s="254" t="str">
        <x:v>hmda_aggregate_downpayment_flow_redfin_sales_value_proxy_monthly_hist</x:v>
      </x:c>
      <x:c r="K51" s="254" t="str">
        <x:v>USD
proxy</x:v>
      </x:c>
      <x:c r="L51" s="254" t="str">
        <x:v>version_b_redfin_purchase_value_proxy_distribution_v1</x:v>
      </x:c>
      <x:c r="M51" s="254" t="str">
        <x:v>Annual flow times each month median-price-times-sales divided by the annual sum; last eligible month absorbs the floating residual</x:v>
      </x:c>
      <x:c r="N51" s="254" t="str">
        <x:v>Partially populated
696 rows
660 non-null
2025-01-31 to 2025-12-31</x:v>
      </x:c>
      <x:c r="O51" s="254" t="str">
        <x:v>hmda_aggregate_downpayment_flow_redfin_sales_value_proxy_monthly_rt</x:v>
      </x:c>
      <x:c r="P51" s="254" t="str">
        <x:v>USD
proxy</x:v>
      </x:c>
      <x:c r="Q51" s="254" t="str">
        <x:v>version_c_redfin_purchase_value_proxy_nowcast_v1</x:v>
      </x:c>
      <x:c r="R51" s="254" t="str">
        <x:v>Scale complete same-year Redfin sales-value proxy weights to annual central low and high HMDA flow values and assign the floating residual to the last finalized month</x:v>
      </x:c>
      <x:c r="S51" s="254" t="str">
        <x:v>Partially populated
3,248 rows
935 non-null
2022-01-31 to 2026-08-31
Flags: 464 nowcast</x:v>
      </x:c>
      <x:c r="T51" s="254" t="str">
        <x:v>No A proxy ID exists; both monthly proxy IDs map to the corresponding A annual canonical HMDA flow benchmark.</x:v>
      </x:c>
      <x:c r="U51" s="254" t="str">
        <x:v>Same finalized-year Redfin price-times-sales allocation where comparable. C also applies the frozen scale to later cutoff-eligible months as a separately flagged proxy nowcast.</x:v>
      </x:c>
      <x:c r="V51" s="254" t="str">
        <x:v>All 660 jointly populated rows equal; 36 both-null</x:v>
      </x:c>
      <x:c r="W51" s="257" t="n">
        <x:v>0</x:v>
      </x:c>
      <x:c r="X51" s="257" t="n">
        <x:v>660</x:v>
      </x:c>
      <x:c r="Y51" s="257" t="n">
        <x:v>0</x:v>
      </x:c>
      <x:c r="Z51" s="257" t="n">
        <x:v>36</x:v>
      </x:c>
      <x:c r="AA51" s="254" t="str">
        <x:v>Total-market Redfin sales value is a weighting proxy, not exact financed purchase-dollar volume.</x:v>
      </x:c>
    </x:row>
    <x:row r="52" ht="78" customHeight="1">
      <x:c r="A52" s="254" t="str">
        <x:v>hmda_aggregate_downpayment_flow_conventional_redfin_sales_value_proxy</x:v>
      </x:c>
      <x:c r="B52" s="254" t="str">
        <x:v>HMDA aggregate down-payment flow - conventional - Redfin sales-value proxy</x:v>
      </x:c>
      <x:c r="C52" s="269" t="str">
        <x:v>Redfin monthly flow proxies</x:v>
      </x:c>
      <x:c r="D52" s="269" t="str">
        <x:v>B/C monthly only</x:v>
      </x:c>
      <x:c r="E52" s="254" t="str">
        <x:v>No same-name A proxy ID
Uses anchor: hmda_aggregate_downpayment_flow_conventional_benchmark</x:v>
      </x:c>
      <x:c r="F52" s="254" t="str">
        <x:v>—</x:v>
      </x:c>
      <x:c r="G52" s="254" t="str">
        <x:v>—</x:v>
      </x:c>
      <x:c r="H52" s="254" t="str">
        <x:v>No same-name A proxy variable</x:v>
      </x:c>
      <x:c r="I52" s="254" t="str">
        <x:v>No same-name A output</x:v>
      </x:c>
      <x:c r="J52" s="254" t="str">
        <x:v>hmda_aggregate_downpayment_flow_conventional_redfin_sales_value_proxy_monthly_hist</x:v>
      </x:c>
      <x:c r="K52" s="254" t="str">
        <x:v>USD
proxy</x:v>
      </x:c>
      <x:c r="L52" s="254" t="str">
        <x:v>version_b_redfin_purchase_value_proxy_distribution_v1</x:v>
      </x:c>
      <x:c r="M52" s="254" t="str">
        <x:v>Annual flow times each month median-price-times-sales divided by the annual sum; last eligible month absorbs the floating residual</x:v>
      </x:c>
      <x:c r="N52" s="254" t="str">
        <x:v>Partially populated
696 rows
552 non-null
2025-01-31 to 2025-12-31</x:v>
      </x:c>
      <x:c r="O52" s="254" t="str">
        <x:v>hmda_aggregate_downpayment_flow_conventional_redfin_sales_value_proxy_monthly_rt</x:v>
      </x:c>
      <x:c r="P52" s="254" t="str">
        <x:v>USD
proxy</x:v>
      </x:c>
      <x:c r="Q52" s="254" t="str">
        <x:v>version_c_redfin_purchase_value_proxy_nowcast_v1</x:v>
      </x:c>
      <x:c r="R52" s="254" t="str">
        <x:v>Scale complete same-year Redfin sales-value proxy weights to annual central low and high HMDA flow values and assign the floating residual to the last finalized month</x:v>
      </x:c>
      <x:c r="S52" s="254" t="str">
        <x:v>Partially populated
3,248 rows
782 non-null
2022-01-31 to 2026-08-31
Flags: 464 nowcast</x:v>
      </x:c>
      <x:c r="T52" s="254" t="str">
        <x:v>No A proxy ID exists; both monthly proxy IDs map to the corresponding A annual canonical HMDA flow benchmark.</x:v>
      </x:c>
      <x:c r="U52" s="254" t="str">
        <x:v>Same finalized-year Redfin price-times-sales allocation where comparable. C also applies the frozen scale to later cutoff-eligible months as a separately flagged proxy nowcast.</x:v>
      </x:c>
      <x:c r="V52" s="254" t="str">
        <x:v>All 552 jointly populated rows equal; 144 both-null</x:v>
      </x:c>
      <x:c r="W52" s="257" t="n">
        <x:v>0</x:v>
      </x:c>
      <x:c r="X52" s="257" t="n">
        <x:v>552</x:v>
      </x:c>
      <x:c r="Y52" s="257" t="n">
        <x:v>0</x:v>
      </x:c>
      <x:c r="Z52" s="257" t="n">
        <x:v>144</x:v>
      </x:c>
      <x:c r="AA52" s="254" t="str">
        <x:v>Total-market Redfin sales value is a weighting proxy, not exact financed purchase-dollar volume.</x:v>
      </x:c>
    </x:row>
    <x:row r="53" ht="78" customHeight="1">
      <x:c r="A53" s="254" t="str">
        <x:v>hmda_aggregate_downpayment_flow_fha_redfin_sales_value_proxy</x:v>
      </x:c>
      <x:c r="B53" s="254" t="str">
        <x:v>HMDA aggregate down-payment flow - FHA - Redfin sales-value proxy</x:v>
      </x:c>
      <x:c r="C53" s="269" t="str">
        <x:v>Redfin monthly flow proxies</x:v>
      </x:c>
      <x:c r="D53" s="269" t="str">
        <x:v>B/C monthly only</x:v>
      </x:c>
      <x:c r="E53" s="254" t="str">
        <x:v>No same-name A proxy ID
Uses anchor: hmda_aggregate_downpayment_flow_fha_benchmark</x:v>
      </x:c>
      <x:c r="F53" s="254" t="str">
        <x:v>—</x:v>
      </x:c>
      <x:c r="G53" s="254" t="str">
        <x:v>—</x:v>
      </x:c>
      <x:c r="H53" s="254" t="str">
        <x:v>No same-name A proxy variable</x:v>
      </x:c>
      <x:c r="I53" s="254" t="str">
        <x:v>No same-name A output</x:v>
      </x:c>
      <x:c r="J53" s="254" t="str">
        <x:v>hmda_aggregate_downpayment_flow_fha_redfin_sales_value_proxy_monthly_hist</x:v>
      </x:c>
      <x:c r="K53" s="254" t="str">
        <x:v>USD
proxy</x:v>
      </x:c>
      <x:c r="L53" s="254" t="str">
        <x:v>version_b_redfin_purchase_value_proxy_distribution_v1</x:v>
      </x:c>
      <x:c r="M53" s="254" t="str">
        <x:v>Annual flow times each month median-price-times-sales divided by the annual sum; last eligible month absorbs the floating residual</x:v>
      </x:c>
      <x:c r="N53" s="254" t="str">
        <x:v>Partially populated
696 rows
468 non-null
2025-01-31 to 2025-12-31</x:v>
      </x:c>
      <x:c r="O53" s="254" t="str">
        <x:v>hmda_aggregate_downpayment_flow_fha_redfin_sales_value_proxy_monthly_rt</x:v>
      </x:c>
      <x:c r="P53" s="254" t="str">
        <x:v>USD
proxy</x:v>
      </x:c>
      <x:c r="Q53" s="254" t="str">
        <x:v>version_c_redfin_purchase_value_proxy_nowcast_v1</x:v>
      </x:c>
      <x:c r="R53" s="254" t="str">
        <x:v>Scale complete same-year Redfin sales-value proxy weights to annual central low and high HMDA flow values and assign the floating residual to the last finalized month</x:v>
      </x:c>
      <x:c r="S53" s="254" t="str">
        <x:v>Partially populated
3,248 rows
663 non-null
2022-01-31 to 2026-08-31
Flags: 464 nowcast</x:v>
      </x:c>
      <x:c r="T53" s="254" t="str">
        <x:v>No A proxy ID exists; both monthly proxy IDs map to the corresponding A annual canonical HMDA flow benchmark.</x:v>
      </x:c>
      <x:c r="U53" s="254" t="str">
        <x:v>Same finalized-year Redfin price-times-sales allocation where comparable. C also applies the frozen scale to later cutoff-eligible months as a separately flagged proxy nowcast.</x:v>
      </x:c>
      <x:c r="V53" s="254" t="str">
        <x:v>All 468 jointly populated rows equal; 228 both-null</x:v>
      </x:c>
      <x:c r="W53" s="257" t="n">
        <x:v>0</x:v>
      </x:c>
      <x:c r="X53" s="257" t="n">
        <x:v>468</x:v>
      </x:c>
      <x:c r="Y53" s="257" t="n">
        <x:v>0</x:v>
      </x:c>
      <x:c r="Z53" s="257" t="n">
        <x:v>228</x:v>
      </x:c>
      <x:c r="AA53" s="254" t="str">
        <x:v>Total-market Redfin sales value is a weighting proxy, not exact financed purchase-dollar volume.</x:v>
      </x:c>
    </x:row>
    <x:row r="54" ht="78" customHeight="1">
      <x:c r="A54" s="254" t="str">
        <x:v>hmda_aggregate_downpayment_flow_va_redfin_sales_value_proxy</x:v>
      </x:c>
      <x:c r="B54" s="254" t="str">
        <x:v>HMDA aggregate down-payment flow - VA - Redfin sales-value proxy</x:v>
      </x:c>
      <x:c r="C54" s="269" t="str">
        <x:v>Redfin monthly flow proxies</x:v>
      </x:c>
      <x:c r="D54" s="269" t="str">
        <x:v>B/C monthly only</x:v>
      </x:c>
      <x:c r="E54" s="254" t="str">
        <x:v>No same-name A proxy ID
Uses anchor: hmda_aggregate_downpayment_flow_va_benchmark</x:v>
      </x:c>
      <x:c r="F54" s="254" t="str">
        <x:v>—</x:v>
      </x:c>
      <x:c r="G54" s="254" t="str">
        <x:v>—</x:v>
      </x:c>
      <x:c r="H54" s="254" t="str">
        <x:v>No same-name A proxy variable</x:v>
      </x:c>
      <x:c r="I54" s="254" t="str">
        <x:v>No same-name A output</x:v>
      </x:c>
      <x:c r="J54" s="254" t="str">
        <x:v>hmda_aggregate_downpayment_flow_va_redfin_sales_value_proxy_monthly_hist</x:v>
      </x:c>
      <x:c r="K54" s="254" t="str">
        <x:v>USD
proxy</x:v>
      </x:c>
      <x:c r="L54" s="254" t="str">
        <x:v>version_b_redfin_purchase_value_proxy_distribution_v1</x:v>
      </x:c>
      <x:c r="M54" s="254" t="str">
        <x:v>Annual flow times each month median-price-times-sales divided by the annual sum; last eligible month absorbs the floating residual</x:v>
      </x:c>
      <x:c r="N54" s="254" t="str">
        <x:v>Partially populated
696 rows
276 non-null
2025-01-31 to 2025-12-31</x:v>
      </x:c>
      <x:c r="O54" s="254" t="str">
        <x:v>hmda_aggregate_downpayment_flow_va_redfin_sales_value_proxy_monthly_rt</x:v>
      </x:c>
      <x:c r="P54" s="254" t="str">
        <x:v>USD
proxy</x:v>
      </x:c>
      <x:c r="Q54" s="254" t="str">
        <x:v>version_c_redfin_purchase_value_proxy_nowcast_v1</x:v>
      </x:c>
      <x:c r="R54" s="254" t="str">
        <x:v>Scale complete same-year Redfin sales-value proxy weights to annual central low and high HMDA flow values and assign the floating residual to the last finalized month</x:v>
      </x:c>
      <x:c r="S54" s="254" t="str">
        <x:v>Partially populated
3,248 rows
391 non-null
2022-01-31 to 2026-08-31
Flags: 464 nowcast</x:v>
      </x:c>
      <x:c r="T54" s="254" t="str">
        <x:v>No A proxy ID exists; both monthly proxy IDs map to the corresponding A annual canonical HMDA flow benchmark.</x:v>
      </x:c>
      <x:c r="U54" s="254" t="str">
        <x:v>Same finalized-year Redfin price-times-sales allocation where comparable. C also applies the frozen scale to later cutoff-eligible months as a separately flagged proxy nowcast.</x:v>
      </x:c>
      <x:c r="V54" s="254" t="str">
        <x:v>All 276 jointly populated rows equal; 420 both-null</x:v>
      </x:c>
      <x:c r="W54" s="257" t="n">
        <x:v>0</x:v>
      </x:c>
      <x:c r="X54" s="257" t="n">
        <x:v>276</x:v>
      </x:c>
      <x:c r="Y54" s="257" t="n">
        <x:v>0</x:v>
      </x:c>
      <x:c r="Z54" s="257" t="n">
        <x:v>420</x:v>
      </x:c>
      <x:c r="AA54" s="254" t="str">
        <x:v>Total-market Redfin sales value is a weighting proxy, not exact financed purchase-dollar volume.</x:v>
      </x:c>
    </x:row>
    <x:row r="55" ht="78" customHeight="1">
      <x:c r="A55" s="254" t="str">
        <x:v>acs_implied_first_mortgage_balance_cal</x:v>
      </x:c>
      <x:c r="B55" s="254" t="str">
        <x:v>California-calibrated implied first-mortgage balance</x:v>
      </x:c>
      <x:c r="C55" s="266" t="str">
        <x:v>Canonical calibrated debt/equity/LTV - unavailable</x:v>
      </x:c>
      <x:c r="D55" s="260" t="str">
        <x:v>Shared A/B/C</x:v>
      </x:c>
      <x:c r="E55" s="254" t="str">
        <x:v>acs_implied_first_mortgage_balance_cal_benchmark</x:v>
      </x:c>
      <x:c r="F55" s="254" t="str">
        <x:v>USD</x:v>
      </x:c>
      <x:c r="G55" s="254" t="str">
        <x:v>ACS 5-year plus NMDB period -&gt; ACS 5-year</x:v>
      </x:c>
      <x:c r="H55" s="254" t="str">
        <x:v>ratio calibration across all California counties</x:v>
      </x:c>
      <x:c r="I55" s="254" t="str">
        <x:v>Explicit null
58 rows
0 non-null
Reference 2022-07-01; source period 2020-01-01 to 2024-12-31</x:v>
      </x:c>
      <x:c r="J55" s="254" t="str">
        <x:v>acs_implied_first_mortgage_balance_cal_monthly_hist</x:v>
      </x:c>
      <x:c r="K55" s="267" t="str">
        <x:v>USD
canonical_null</x:v>
      </x:c>
      <x:c r="L55" s="267" t="str">
        <x:v>version_b_calibrated_target_unavailable_v1</x:v>
      </x:c>
      <x:c r="M55" s="267" t="str">
        <x:v>Emit explicit null rows because the universe-compatible calibration control is unavailable</x:v>
      </x:c>
      <x:c r="N55" s="267" t="str">
        <x:v>Explicit null
9,106 rows
0 non-null
2013-03-31 to 2026-03-31</x:v>
      </x:c>
      <x:c r="O55" s="267" t="str">
        <x:v>acs_implied_first_mortgage_balance_cal_monthly_rt</x:v>
      </x:c>
      <x:c r="P55" s="267" t="str">
        <x:v>USD
canonical_null</x:v>
      </x:c>
      <x:c r="Q55" s="267" t="str">
        <x:v>version_c_calibrated_target_unavailable_v1</x:v>
      </x:c>
      <x:c r="R55" s="267" t="str">
        <x:v>Emit explicit null canonical debt normalized equity real-dollar LTV and equity-rate rows rather than substituting a PMMS sensitivity</x:v>
      </x:c>
      <x:c r="S55" s="267" t="str">
        <x:v>Explicit null
3,248 rows
0 non-null
2022-01-31 to 2026-08-31</x:v>
      </x:c>
      <x:c r="T55" s="254" t="str">
        <x:v>A defines the preferred calibrated/normalized debt, equity, and leverage targets but the compatible California first-lien calibration universe is unavailable.</x:v>
      </x:c>
      <x:c r="U55" s="254" t="str">
        <x:v>Same explicit-null result in B and C; C marks these unavailable rows as not nowcasts and enforces the cutoff contract.</x:v>
      </x:c>
      <x:c r="V55" s="254" t="str">
        <x:v>All 2,958 comparable rows null in both</x:v>
      </x:c>
      <x:c r="W55" s="257" t="n">
        <x:v>0</x:v>
      </x:c>
      <x:c r="X55" s="257" t="n">
        <x:v>0</x:v>
      </x:c>
      <x:c r="Y55" s="257" t="n">
        <x:v>0</x:v>
      </x:c>
      <x:c r="Z55" s="257" t="n">
        <x:v>2958</x:v>
      </x:c>
      <x:c r="AA55" s="254" t="str">
        <x:v>Do not populate from NMDB all-mortgage totals or PMMS scenarios; proxies/sensitivities stay in separate IDs.</x:v>
      </x:c>
    </x:row>
    <x:row r="56" ht="78" customHeight="1">
      <x:c r="A56" s="254" t="str">
        <x:v>acs_implied_owner_occupied_home_equity_mortgaged</x:v>
      </x:c>
      <x:c r="B56" s="254" t="str">
        <x:v>Implied mortgaged-owner home equity</x:v>
      </x:c>
      <x:c r="C56" s="266" t="str">
        <x:v>Canonical calibrated debt/equity/LTV - unavailable</x:v>
      </x:c>
      <x:c r="D56" s="260" t="str">
        <x:v>Shared A/B/C</x:v>
      </x:c>
      <x:c r="E56" s="254" t="str">
        <x:v>acs_implied_owner_occupied_home_equity_mortgaged_benchmark</x:v>
      </x:c>
      <x:c r="F56" s="254" t="str">
        <x:v>USD</x:v>
      </x:c>
      <x:c r="G56" s="254" t="str">
        <x:v>ACS 5-year plus NMDB period -&gt; ACS 5-year</x:v>
      </x:c>
      <x:c r="H56" s="254" t="str">
        <x:v>matched-universe subtraction</x:v>
      </x:c>
      <x:c r="I56" s="254" t="str">
        <x:v>Explicit null
58 rows
0 non-null
Reference 2022-07-01; source period 2020-01-01 to 2024-12-31</x:v>
      </x:c>
      <x:c r="J56" s="254" t="str">
        <x:v>acs_implied_owner_occupied_home_equity_mortgaged_monthly_hist</x:v>
      </x:c>
      <x:c r="K56" s="267" t="str">
        <x:v>USD
canonical_null</x:v>
      </x:c>
      <x:c r="L56" s="267" t="str">
        <x:v>version_b_calibrated_target_unavailable_v1</x:v>
      </x:c>
      <x:c r="M56" s="267" t="str">
        <x:v>Emit explicit null rows because the universe-compatible calibration control is unavailable</x:v>
      </x:c>
      <x:c r="N56" s="267" t="str">
        <x:v>Explicit null
9,106 rows
0 non-null
2013-03-31 to 2026-03-31</x:v>
      </x:c>
      <x:c r="O56" s="267" t="str">
        <x:v>acs_implied_owner_occupied_home_equity_mortgaged_monthly_rt</x:v>
      </x:c>
      <x:c r="P56" s="267" t="str">
        <x:v>USD
canonical_null</x:v>
      </x:c>
      <x:c r="Q56" s="267" t="str">
        <x:v>version_c_calibrated_target_unavailable_v1</x:v>
      </x:c>
      <x:c r="R56" s="267" t="str">
        <x:v>Emit explicit null canonical debt normalized equity real-dollar LTV and equity-rate rows rather than substituting a PMMS sensitivity</x:v>
      </x:c>
      <x:c r="S56" s="267" t="str">
        <x:v>Explicit null
3,248 rows
0 non-null
2022-01-31 to 2026-08-31</x:v>
      </x:c>
      <x:c r="T56" s="254" t="str">
        <x:v>A defines the preferred calibrated/normalized debt, equity, and leverage targets but the compatible California first-lien calibration universe is unavailable.</x:v>
      </x:c>
      <x:c r="U56" s="254" t="str">
        <x:v>Same explicit-null result in B and C; C marks these unavailable rows as not nowcasts and enforces the cutoff contract.</x:v>
      </x:c>
      <x:c r="V56" s="254" t="str">
        <x:v>All 2,958 comparable rows null in both</x:v>
      </x:c>
      <x:c r="W56" s="257" t="n">
        <x:v>0</x:v>
      </x:c>
      <x:c r="X56" s="257" t="n">
        <x:v>0</x:v>
      </x:c>
      <x:c r="Y56" s="257" t="n">
        <x:v>0</x:v>
      </x:c>
      <x:c r="Z56" s="257" t="n">
        <x:v>2958</x:v>
      </x:c>
      <x:c r="AA56" s="254" t="str">
        <x:v>Do not populate from NMDB all-mortgage totals or PMMS scenarios; proxies/sensitivities stay in separate IDs.</x:v>
      </x:c>
    </x:row>
    <x:row r="57" ht="78" customHeight="1">
      <x:c r="A57" s="254" t="str">
        <x:v>acs_implied_owner_occupied_home_equity_all</x:v>
      </x:c>
      <x:c r="B57" s="254" t="str">
        <x:v>Implied all-owner home equity</x:v>
      </x:c>
      <x:c r="C57" s="266" t="str">
        <x:v>Canonical calibrated debt/equity/LTV - unavailable</x:v>
      </x:c>
      <x:c r="D57" s="260" t="str">
        <x:v>Shared A/B/C</x:v>
      </x:c>
      <x:c r="E57" s="254" t="str">
        <x:v>acs_implied_owner_occupied_home_equity_all_benchmark</x:v>
      </x:c>
      <x:c r="F57" s="254" t="str">
        <x:v>USD</x:v>
      </x:c>
      <x:c r="G57" s="254" t="str">
        <x:v>ACS 5-year plus NMDB period -&gt; ACS 5-year</x:v>
      </x:c>
      <x:c r="H57" s="254" t="str">
        <x:v>matched-universe identity</x:v>
      </x:c>
      <x:c r="I57" s="254" t="str">
        <x:v>Explicit null
58 rows
0 non-null
Reference 2022-07-01; source period 2020-01-01 to 2024-12-31</x:v>
      </x:c>
      <x:c r="J57" s="254" t="str">
        <x:v>acs_implied_owner_occupied_home_equity_all_monthly_hist</x:v>
      </x:c>
      <x:c r="K57" s="267" t="str">
        <x:v>USD
canonical_null</x:v>
      </x:c>
      <x:c r="L57" s="267" t="str">
        <x:v>version_b_calibrated_target_unavailable_v1</x:v>
      </x:c>
      <x:c r="M57" s="267" t="str">
        <x:v>Emit explicit null rows because the universe-compatible calibration control is unavailable</x:v>
      </x:c>
      <x:c r="N57" s="267" t="str">
        <x:v>Explicit null
9,106 rows
0 non-null
2013-03-31 to 2026-03-31</x:v>
      </x:c>
      <x:c r="O57" s="267" t="str">
        <x:v>acs_implied_owner_occupied_home_equity_all_monthly_rt</x:v>
      </x:c>
      <x:c r="P57" s="267" t="str">
        <x:v>USD
canonical_null</x:v>
      </x:c>
      <x:c r="Q57" s="267" t="str">
        <x:v>version_c_calibrated_target_unavailable_v1</x:v>
      </x:c>
      <x:c r="R57" s="267" t="str">
        <x:v>Emit explicit null canonical debt normalized equity real-dollar LTV and equity-rate rows rather than substituting a PMMS sensitivity</x:v>
      </x:c>
      <x:c r="S57" s="267" t="str">
        <x:v>Explicit null
3,248 rows
0 non-null
2022-01-31 to 2026-08-31</x:v>
      </x:c>
      <x:c r="T57" s="254" t="str">
        <x:v>A defines the preferred calibrated/normalized debt, equity, and leverage targets but the compatible California first-lien calibration universe is unavailable.</x:v>
      </x:c>
      <x:c r="U57" s="254" t="str">
        <x:v>Same explicit-null result in B and C; C marks these unavailable rows as not nowcasts and enforces the cutoff contract.</x:v>
      </x:c>
      <x:c r="V57" s="254" t="str">
        <x:v>All 2,958 comparable rows null in both</x:v>
      </x:c>
      <x:c r="W57" s="257" t="n">
        <x:v>0</x:v>
      </x:c>
      <x:c r="X57" s="257" t="n">
        <x:v>0</x:v>
      </x:c>
      <x:c r="Y57" s="257" t="n">
        <x:v>0</x:v>
      </x:c>
      <x:c r="Z57" s="257" t="n">
        <x:v>2958</x:v>
      </x:c>
      <x:c r="AA57" s="254" t="str">
        <x:v>Do not populate from NMDB all-mortgage totals or PMMS scenarios; proxies/sensitivities stay in separate IDs.</x:v>
      </x:c>
    </x:row>
    <x:row r="58" ht="78" customHeight="1">
      <x:c r="A58" s="254" t="str">
        <x:v>acs_first_mortgage_debt_per_mortgaged_owner_unit</x:v>
      </x:c>
      <x:c r="B58" s="254" t="str">
        <x:v>First-mortgage debt per mortgaged owner unit</x:v>
      </x:c>
      <x:c r="C58" s="266" t="str">
        <x:v>Canonical calibrated debt/equity/LTV - unavailable</x:v>
      </x:c>
      <x:c r="D58" s="260" t="str">
        <x:v>Shared A/B/C</x:v>
      </x:c>
      <x:c r="E58" s="254" t="str">
        <x:v>acs_first_mortgage_debt_per_mortgaged_owner_unit_benchmark</x:v>
      </x:c>
      <x:c r="F58" s="254" t="str">
        <x:v>USD/unit</x:v>
      </x:c>
      <x:c r="G58" s="254" t="str">
        <x:v>ACS 5-year plus NMDB period -&gt; ACS 5-year</x:v>
      </x:c>
      <x:c r="H58" s="254" t="str">
        <x:v>matched-period ratio</x:v>
      </x:c>
      <x:c r="I58" s="254" t="str">
        <x:v>Explicit null
58 rows
0 non-null
Reference 2022-07-01; source period 2020-01-01 to 2024-12-31</x:v>
      </x:c>
      <x:c r="J58" s="254" t="str">
        <x:v>acs_first_mortgage_debt_per_mortgaged_owner_unit_monthly_hist</x:v>
      </x:c>
      <x:c r="K58" s="267" t="str">
        <x:v>USD/unit
canonical_null</x:v>
      </x:c>
      <x:c r="L58" s="267" t="str">
        <x:v>version_b_calibrated_target_unavailable_v1</x:v>
      </x:c>
      <x:c r="M58" s="267" t="str">
        <x:v>Emit explicit null rows because the universe-compatible calibration control is unavailable</x:v>
      </x:c>
      <x:c r="N58" s="267" t="str">
        <x:v>Explicit null
9,106 rows
0 non-null
2013-03-31 to 2026-03-31</x:v>
      </x:c>
      <x:c r="O58" s="267" t="str">
        <x:v>acs_first_mortgage_debt_per_mortgaged_owner_unit_monthly_rt</x:v>
      </x:c>
      <x:c r="P58" s="267" t="str">
        <x:v>USD/unit
canonical_null</x:v>
      </x:c>
      <x:c r="Q58" s="267" t="str">
        <x:v>version_c_calibrated_target_unavailable_v1</x:v>
      </x:c>
      <x:c r="R58" s="267" t="str">
        <x:v>Emit explicit null canonical debt normalized equity real-dollar LTV and equity-rate rows rather than substituting a PMMS sensitivity</x:v>
      </x:c>
      <x:c r="S58" s="267" t="str">
        <x:v>Explicit null
3,248 rows
0 non-null
2022-01-31 to 2026-08-31</x:v>
      </x:c>
      <x:c r="T58" s="254" t="str">
        <x:v>A defines the preferred calibrated/normalized debt, equity, and leverage targets but the compatible California first-lien calibration universe is unavailable.</x:v>
      </x:c>
      <x:c r="U58" s="254" t="str">
        <x:v>Same explicit-null result in B and C; C marks these unavailable rows as not nowcasts and enforces the cutoff contract.</x:v>
      </x:c>
      <x:c r="V58" s="254" t="str">
        <x:v>All 2,958 comparable rows null in both</x:v>
      </x:c>
      <x:c r="W58" s="257" t="n">
        <x:v>0</x:v>
      </x:c>
      <x:c r="X58" s="257" t="n">
        <x:v>0</x:v>
      </x:c>
      <x:c r="Y58" s="257" t="n">
        <x:v>0</x:v>
      </x:c>
      <x:c r="Z58" s="257" t="n">
        <x:v>2958</x:v>
      </x:c>
      <x:c r="AA58" s="254" t="str">
        <x:v>Do not populate from NMDB all-mortgage totals or PMMS scenarios; proxies/sensitivities stay in separate IDs.</x:v>
      </x:c>
    </x:row>
    <x:row r="59" ht="78" customHeight="1">
      <x:c r="A59" s="254" t="str">
        <x:v>acs_first_mortgage_debt_per_owner_unit</x:v>
      </x:c>
      <x:c r="B59" s="254" t="str">
        <x:v>First-mortgage debt per owner unit</x:v>
      </x:c>
      <x:c r="C59" s="266" t="str">
        <x:v>Canonical calibrated debt/equity/LTV - unavailable</x:v>
      </x:c>
      <x:c r="D59" s="260" t="str">
        <x:v>Shared A/B/C</x:v>
      </x:c>
      <x:c r="E59" s="254" t="str">
        <x:v>acs_first_mortgage_debt_per_owner_unit_benchmark</x:v>
      </x:c>
      <x:c r="F59" s="254" t="str">
        <x:v>USD/unit</x:v>
      </x:c>
      <x:c r="G59" s="254" t="str">
        <x:v>ACS 5-year plus NMDB period -&gt; ACS 5-year</x:v>
      </x:c>
      <x:c r="H59" s="254" t="str">
        <x:v>matched-period ratio</x:v>
      </x:c>
      <x:c r="I59" s="254" t="str">
        <x:v>Explicit null
58 rows
0 non-null
Reference 2022-07-01; source period 2020-01-01 to 2024-12-31</x:v>
      </x:c>
      <x:c r="J59" s="254" t="str">
        <x:v>acs_first_mortgage_debt_per_owner_unit_monthly_hist</x:v>
      </x:c>
      <x:c r="K59" s="267" t="str">
        <x:v>USD/unit
canonical_null</x:v>
      </x:c>
      <x:c r="L59" s="267" t="str">
        <x:v>version_b_calibrated_target_unavailable_v1</x:v>
      </x:c>
      <x:c r="M59" s="267" t="str">
        <x:v>Emit explicit null rows because the universe-compatible calibration control is unavailable</x:v>
      </x:c>
      <x:c r="N59" s="267" t="str">
        <x:v>Explicit null
9,106 rows
0 non-null
2013-03-31 to 2026-03-31</x:v>
      </x:c>
      <x:c r="O59" s="267" t="str">
        <x:v>acs_first_mortgage_debt_per_owner_unit_monthly_rt</x:v>
      </x:c>
      <x:c r="P59" s="267" t="str">
        <x:v>USD/unit
canonical_null</x:v>
      </x:c>
      <x:c r="Q59" s="267" t="str">
        <x:v>version_c_calibrated_target_unavailable_v1</x:v>
      </x:c>
      <x:c r="R59" s="267" t="str">
        <x:v>Emit explicit null canonical debt normalized equity real-dollar LTV and equity-rate rows rather than substituting a PMMS sensitivity</x:v>
      </x:c>
      <x:c r="S59" s="267" t="str">
        <x:v>Explicit null
3,248 rows
0 non-null
2022-01-31 to 2026-08-31</x:v>
      </x:c>
      <x:c r="T59" s="254" t="str">
        <x:v>A defines the preferred calibrated/normalized debt, equity, and leverage targets but the compatible California first-lien calibration universe is unavailable.</x:v>
      </x:c>
      <x:c r="U59" s="254" t="str">
        <x:v>Same explicit-null result in B and C; C marks these unavailable rows as not nowcasts and enforces the cutoff contract.</x:v>
      </x:c>
      <x:c r="V59" s="254" t="str">
        <x:v>All 2,958 comparable rows null in both</x:v>
      </x:c>
      <x:c r="W59" s="257" t="n">
        <x:v>0</x:v>
      </x:c>
      <x:c r="X59" s="257" t="n">
        <x:v>0</x:v>
      </x:c>
      <x:c r="Y59" s="257" t="n">
        <x:v>0</x:v>
      </x:c>
      <x:c r="Z59" s="257" t="n">
        <x:v>2958</x:v>
      </x:c>
      <x:c r="AA59" s="254" t="str">
        <x:v>Do not populate from NMDB all-mortgage totals or PMMS scenarios; proxies/sensitivities stay in separate IDs.</x:v>
      </x:c>
    </x:row>
    <x:row r="60" ht="78" customHeight="1">
      <x:c r="A60" s="254" t="str">
        <x:v>acs_first_mortgage_debt_per_capita</x:v>
      </x:c>
      <x:c r="B60" s="254" t="str">
        <x:v>First-mortgage debt per capita</x:v>
      </x:c>
      <x:c r="C60" s="266" t="str">
        <x:v>Canonical calibrated debt/equity/LTV - unavailable</x:v>
      </x:c>
      <x:c r="D60" s="260" t="str">
        <x:v>Shared A/B/C</x:v>
      </x:c>
      <x:c r="E60" s="254" t="str">
        <x:v>acs_first_mortgage_debt_per_capita_benchmark</x:v>
      </x:c>
      <x:c r="F60" s="254" t="str">
        <x:v>USD/person</x:v>
      </x:c>
      <x:c r="G60" s="254" t="str">
        <x:v>ACS 5-year plus NMDB period -&gt; ACS 5-year</x:v>
      </x:c>
      <x:c r="H60" s="254" t="str">
        <x:v>matched-period ratio</x:v>
      </x:c>
      <x:c r="I60" s="254" t="str">
        <x:v>Explicit null
58 rows
0 non-null
Reference 2022-07-01; source period 2020-01-01 to 2024-12-31</x:v>
      </x:c>
      <x:c r="J60" s="254" t="str">
        <x:v>acs_first_mortgage_debt_per_capita_monthly_hist</x:v>
      </x:c>
      <x:c r="K60" s="267" t="str">
        <x:v>USD/person
canonical_null</x:v>
      </x:c>
      <x:c r="L60" s="267" t="str">
        <x:v>version_b_calibrated_target_unavailable_v1</x:v>
      </x:c>
      <x:c r="M60" s="267" t="str">
        <x:v>Emit explicit null rows because the universe-compatible calibration control is unavailable</x:v>
      </x:c>
      <x:c r="N60" s="267" t="str">
        <x:v>Explicit null
9,106 rows
0 non-null
2013-03-31 to 2026-03-31</x:v>
      </x:c>
      <x:c r="O60" s="267" t="str">
        <x:v>acs_first_mortgage_debt_per_capita_monthly_rt</x:v>
      </x:c>
      <x:c r="P60" s="267" t="str">
        <x:v>USD/person
canonical_null</x:v>
      </x:c>
      <x:c r="Q60" s="267" t="str">
        <x:v>version_c_calibrated_target_unavailable_v1</x:v>
      </x:c>
      <x:c r="R60" s="267" t="str">
        <x:v>Emit explicit null canonical debt normalized equity real-dollar LTV and equity-rate rows rather than substituting a PMMS sensitivity</x:v>
      </x:c>
      <x:c r="S60" s="267" t="str">
        <x:v>Explicit null
3,248 rows
0 non-null
2022-01-31 to 2026-08-31</x:v>
      </x:c>
      <x:c r="T60" s="254" t="str">
        <x:v>A defines the preferred calibrated/normalized debt, equity, and leverage targets but the compatible California first-lien calibration universe is unavailable.</x:v>
      </x:c>
      <x:c r="U60" s="254" t="str">
        <x:v>Same explicit-null result in B and C; C marks these unavailable rows as not nowcasts and enforces the cutoff contract.</x:v>
      </x:c>
      <x:c r="V60" s="254" t="str">
        <x:v>All 2,958 comparable rows null in both</x:v>
      </x:c>
      <x:c r="W60" s="257" t="n">
        <x:v>0</x:v>
      </x:c>
      <x:c r="X60" s="257" t="n">
        <x:v>0</x:v>
      </x:c>
      <x:c r="Y60" s="257" t="n">
        <x:v>0</x:v>
      </x:c>
      <x:c r="Z60" s="257" t="n">
        <x:v>2958</x:v>
      </x:c>
      <x:c r="AA60" s="254" t="str">
        <x:v>Do not populate from NMDB all-mortgage totals or PMMS scenarios; proxies/sensitivities stay in separate IDs.</x:v>
      </x:c>
    </x:row>
    <x:row r="61" ht="78" customHeight="1">
      <x:c r="A61" s="254" t="str">
        <x:v>acs_first_mortgage_debt_to_owner_income</x:v>
      </x:c>
      <x:c r="B61" s="254" t="str">
        <x:v>First-mortgage debt to owner income</x:v>
      </x:c>
      <x:c r="C61" s="266" t="str">
        <x:v>Canonical calibrated debt/equity/LTV - unavailable</x:v>
      </x:c>
      <x:c r="D61" s="260" t="str">
        <x:v>Shared A/B/C</x:v>
      </x:c>
      <x:c r="E61" s="254" t="str">
        <x:v>acs_first_mortgage_debt_to_owner_income_benchmark</x:v>
      </x:c>
      <x:c r="F61" s="254" t="str">
        <x:v>ratio</x:v>
      </x:c>
      <x:c r="G61" s="254" t="str">
        <x:v>ACS 5-year plus NMDB period -&gt; ACS 5-year</x:v>
      </x:c>
      <x:c r="H61" s="254" t="str">
        <x:v>matched-period ratio</x:v>
      </x:c>
      <x:c r="I61" s="254" t="str">
        <x:v>Explicit null
58 rows
0 non-null
Reference 2022-07-01; source period 2020-01-01 to 2024-12-31</x:v>
      </x:c>
      <x:c r="J61" s="254" t="str">
        <x:v>acs_first_mortgage_debt_to_owner_income_monthly_hist</x:v>
      </x:c>
      <x:c r="K61" s="267" t="str">
        <x:v>ratio
canonical_null</x:v>
      </x:c>
      <x:c r="L61" s="267" t="str">
        <x:v>version_b_calibrated_target_unavailable_v1</x:v>
      </x:c>
      <x:c r="M61" s="267" t="str">
        <x:v>Emit explicit null rows because the universe-compatible calibration control is unavailable</x:v>
      </x:c>
      <x:c r="N61" s="267" t="str">
        <x:v>Explicit null
9,106 rows
0 non-null
2013-03-31 to 2026-03-31</x:v>
      </x:c>
      <x:c r="O61" s="267" t="str">
        <x:v>acs_first_mortgage_debt_to_owner_income_monthly_rt</x:v>
      </x:c>
      <x:c r="P61" s="267" t="str">
        <x:v>ratio
canonical_null</x:v>
      </x:c>
      <x:c r="Q61" s="267" t="str">
        <x:v>version_c_calibrated_target_unavailable_v1</x:v>
      </x:c>
      <x:c r="R61" s="267" t="str">
        <x:v>Emit explicit null canonical debt normalized equity real-dollar LTV and equity-rate rows rather than substituting a PMMS sensitivity</x:v>
      </x:c>
      <x:c r="S61" s="267" t="str">
        <x:v>Explicit null
3,248 rows
0 non-null
2022-01-31 to 2026-08-31</x:v>
      </x:c>
      <x:c r="T61" s="254" t="str">
        <x:v>A defines the preferred calibrated/normalized debt, equity, and leverage targets but the compatible California first-lien calibration universe is unavailable.</x:v>
      </x:c>
      <x:c r="U61" s="254" t="str">
        <x:v>Same explicit-null result in B and C; C marks these unavailable rows as not nowcasts and enforces the cutoff contract.</x:v>
      </x:c>
      <x:c r="V61" s="254" t="str">
        <x:v>All 2,958 comparable rows null in both</x:v>
      </x:c>
      <x:c r="W61" s="257" t="n">
        <x:v>0</x:v>
      </x:c>
      <x:c r="X61" s="257" t="n">
        <x:v>0</x:v>
      </x:c>
      <x:c r="Y61" s="257" t="n">
        <x:v>0</x:v>
      </x:c>
      <x:c r="Z61" s="257" t="n">
        <x:v>2958</x:v>
      </x:c>
      <x:c r="AA61" s="254" t="str">
        <x:v>Do not populate from NMDB all-mortgage totals or PMMS scenarios; proxies/sensitivities stay in separate IDs.</x:v>
      </x:c>
    </x:row>
    <x:row r="62" ht="78" customHeight="1">
      <x:c r="A62" s="254" t="str">
        <x:v>acs_implied_owner_occupied_home_equity_per_owner_unit</x:v>
      </x:c>
      <x:c r="B62" s="254" t="str">
        <x:v>Implied home equity per owner unit</x:v>
      </x:c>
      <x:c r="C62" s="266" t="str">
        <x:v>Canonical calibrated debt/equity/LTV - unavailable</x:v>
      </x:c>
      <x:c r="D62" s="260" t="str">
        <x:v>Shared A/B/C</x:v>
      </x:c>
      <x:c r="E62" s="254" t="str">
        <x:v>acs_implied_owner_occupied_home_equity_per_owner_unit_benchmark</x:v>
      </x:c>
      <x:c r="F62" s="254" t="str">
        <x:v>USD/unit</x:v>
      </x:c>
      <x:c r="G62" s="254" t="str">
        <x:v>ACS 5-year plus NMDB period -&gt; ACS 5-year</x:v>
      </x:c>
      <x:c r="H62" s="254" t="str">
        <x:v>matched-period ratio</x:v>
      </x:c>
      <x:c r="I62" s="254" t="str">
        <x:v>Explicit null
58 rows
0 non-null
Reference 2022-07-01; source period 2020-01-01 to 2024-12-31</x:v>
      </x:c>
      <x:c r="J62" s="254" t="str">
        <x:v>acs_implied_owner_occupied_home_equity_per_owner_unit_monthly_hist</x:v>
      </x:c>
      <x:c r="K62" s="267" t="str">
        <x:v>USD/unit
canonical_null</x:v>
      </x:c>
      <x:c r="L62" s="267" t="str">
        <x:v>version_b_calibrated_target_unavailable_v1</x:v>
      </x:c>
      <x:c r="M62" s="267" t="str">
        <x:v>Emit explicit null rows because the universe-compatible calibration control is unavailable</x:v>
      </x:c>
      <x:c r="N62" s="267" t="str">
        <x:v>Explicit null
9,106 rows
0 non-null
2013-03-31 to 2026-03-31</x:v>
      </x:c>
      <x:c r="O62" s="267" t="str">
        <x:v>acs_implied_owner_occupied_home_equity_per_owner_unit_monthly_rt</x:v>
      </x:c>
      <x:c r="P62" s="267" t="str">
        <x:v>USD/unit
canonical_null</x:v>
      </x:c>
      <x:c r="Q62" s="267" t="str">
        <x:v>version_c_calibrated_target_unavailable_v1</x:v>
      </x:c>
      <x:c r="R62" s="267" t="str">
        <x:v>Emit explicit null canonical debt normalized equity real-dollar LTV and equity-rate rows rather than substituting a PMMS sensitivity</x:v>
      </x:c>
      <x:c r="S62" s="267" t="str">
        <x:v>Explicit null
3,248 rows
0 non-null
2022-01-31 to 2026-08-31</x:v>
      </x:c>
      <x:c r="T62" s="254" t="str">
        <x:v>A defines the preferred calibrated/normalized debt, equity, and leverage targets but the compatible California first-lien calibration universe is unavailable.</x:v>
      </x:c>
      <x:c r="U62" s="254" t="str">
        <x:v>Same explicit-null result in B and C; C marks these unavailable rows as not nowcasts and enforces the cutoff contract.</x:v>
      </x:c>
      <x:c r="V62" s="254" t="str">
        <x:v>All 2,958 comparable rows null in both</x:v>
      </x:c>
      <x:c r="W62" s="257" t="n">
        <x:v>0</x:v>
      </x:c>
      <x:c r="X62" s="257" t="n">
        <x:v>0</x:v>
      </x:c>
      <x:c r="Y62" s="257" t="n">
        <x:v>0</x:v>
      </x:c>
      <x:c r="Z62" s="257" t="n">
        <x:v>2958</x:v>
      </x:c>
      <x:c r="AA62" s="254" t="str">
        <x:v>Do not populate from NMDB all-mortgage totals or PMMS scenarios; proxies/sensitivities stay in separate IDs.</x:v>
      </x:c>
    </x:row>
    <x:row r="63" ht="78" customHeight="1">
      <x:c r="A63" s="254" t="str">
        <x:v>acs_implied_owner_occupied_home_equity_mortgaged_real_2024</x:v>
      </x:c>
      <x:c r="B63" s="254" t="str">
        <x:v>Implied mortgaged-owner home equity in constant 2024 dollars</x:v>
      </x:c>
      <x:c r="C63" s="266" t="str">
        <x:v>Canonical calibrated debt/equity/LTV - unavailable</x:v>
      </x:c>
      <x:c r="D63" s="260" t="str">
        <x:v>Shared A/B/C</x:v>
      </x:c>
      <x:c r="E63" s="254" t="str">
        <x:v>acs_implied_owner_occupied_home_equity_mortgaged_real_2024_benchmark</x:v>
      </x:c>
      <x:c r="F63" s="254" t="str">
        <x:v>constant_2024_USD</x:v>
      </x:c>
      <x:c r="G63" s="254" t="str">
        <x:v>ACS 5-year plus NMDB period and annual CPI -&gt; ACS 5-year</x:v>
      </x:c>
      <x:c r="H63" s="254" t="str">
        <x:v>annual-average CPI deflation using the ACS vintage ending year</x:v>
      </x:c>
      <x:c r="I63" s="254" t="str">
        <x:v>Explicit null
58 rows
0 non-null
Reference 2022-07-01; source period 2020-01-01 to 2024-12-31</x:v>
      </x:c>
      <x:c r="J63" s="254" t="str">
        <x:v>acs_implied_owner_occupied_home_equity_mortgaged_real_2024_monthly_hist</x:v>
      </x:c>
      <x:c r="K63" s="267" t="str">
        <x:v>constant_2024_USD
canonical_null</x:v>
      </x:c>
      <x:c r="L63" s="267" t="str">
        <x:v>version_b_calibrated_target_unavailable_v1</x:v>
      </x:c>
      <x:c r="M63" s="267" t="str">
        <x:v>Emit explicit null rows because the universe-compatible calibration control is unavailable</x:v>
      </x:c>
      <x:c r="N63" s="267" t="str">
        <x:v>Explicit null
9,106 rows
0 non-null
2013-03-31 to 2026-03-31</x:v>
      </x:c>
      <x:c r="O63" s="267" t="str">
        <x:v>acs_implied_owner_occupied_home_equity_mortgaged_real_2024_monthly_rt</x:v>
      </x:c>
      <x:c r="P63" s="267" t="str">
        <x:v>constant_2024_USD
canonical_null</x:v>
      </x:c>
      <x:c r="Q63" s="267" t="str">
        <x:v>version_c_calibrated_target_unavailable_v1</x:v>
      </x:c>
      <x:c r="R63" s="267" t="str">
        <x:v>Emit explicit null canonical debt normalized equity real-dollar LTV and equity-rate rows rather than substituting a PMMS sensitivity</x:v>
      </x:c>
      <x:c r="S63" s="267" t="str">
        <x:v>Explicit null
3,248 rows
0 non-null
2022-01-31 to 2026-08-31</x:v>
      </x:c>
      <x:c r="T63" s="254" t="str">
        <x:v>A defines the preferred calibrated/normalized debt, equity, and leverage targets but the compatible California first-lien calibration universe is unavailable.</x:v>
      </x:c>
      <x:c r="U63" s="254" t="str">
        <x:v>Same explicit-null result in B and C; C marks these unavailable rows as not nowcasts and enforces the cutoff contract.</x:v>
      </x:c>
      <x:c r="V63" s="254" t="str">
        <x:v>All 2,958 comparable rows null in both</x:v>
      </x:c>
      <x:c r="W63" s="257" t="n">
        <x:v>0</x:v>
      </x:c>
      <x:c r="X63" s="257" t="n">
        <x:v>0</x:v>
      </x:c>
      <x:c r="Y63" s="257" t="n">
        <x:v>0</x:v>
      </x:c>
      <x:c r="Z63" s="257" t="n">
        <x:v>2958</x:v>
      </x:c>
      <x:c r="AA63" s="254" t="str">
        <x:v>Do not populate from NMDB all-mortgage totals or PMMS scenarios; proxies/sensitivities stay in separate IDs.</x:v>
      </x:c>
    </x:row>
    <x:row r="64" ht="78" customHeight="1">
      <x:c r="A64" s="254" t="str">
        <x:v>acs_implied_owner_occupied_home_equity_all_real_2024</x:v>
      </x:c>
      <x:c r="B64" s="254" t="str">
        <x:v>Implied all-owner home equity in constant 2024 dollars</x:v>
      </x:c>
      <x:c r="C64" s="266" t="str">
        <x:v>Canonical calibrated debt/equity/LTV - unavailable</x:v>
      </x:c>
      <x:c r="D64" s="260" t="str">
        <x:v>Shared A/B/C</x:v>
      </x:c>
      <x:c r="E64" s="254" t="str">
        <x:v>acs_implied_owner_occupied_home_equity_all_real_2024_benchmark</x:v>
      </x:c>
      <x:c r="F64" s="254" t="str">
        <x:v>constant_2024_USD</x:v>
      </x:c>
      <x:c r="G64" s="254" t="str">
        <x:v>ACS 5-year plus NMDB period and annual CPI -&gt; ACS 5-year</x:v>
      </x:c>
      <x:c r="H64" s="254" t="str">
        <x:v>annual-average CPI deflation using the ACS vintage ending year</x:v>
      </x:c>
      <x:c r="I64" s="254" t="str">
        <x:v>Explicit null
58 rows
0 non-null
Reference 2022-07-01; source period 2020-01-01 to 2024-12-31</x:v>
      </x:c>
      <x:c r="J64" s="254" t="str">
        <x:v>acs_implied_owner_occupied_home_equity_all_real_2024_monthly_hist</x:v>
      </x:c>
      <x:c r="K64" s="267" t="str">
        <x:v>constant_2024_USD
canonical_null</x:v>
      </x:c>
      <x:c r="L64" s="267" t="str">
        <x:v>version_b_calibrated_target_unavailable_v1</x:v>
      </x:c>
      <x:c r="M64" s="267" t="str">
        <x:v>Emit explicit null rows because the universe-compatible calibration control is unavailable</x:v>
      </x:c>
      <x:c r="N64" s="267" t="str">
        <x:v>Explicit null
9,106 rows
0 non-null
2013-03-31 to 2026-03-31</x:v>
      </x:c>
      <x:c r="O64" s="267" t="str">
        <x:v>acs_implied_owner_occupied_home_equity_all_real_2024_monthly_rt</x:v>
      </x:c>
      <x:c r="P64" s="267" t="str">
        <x:v>constant_2024_USD
canonical_null</x:v>
      </x:c>
      <x:c r="Q64" s="267" t="str">
        <x:v>version_c_calibrated_target_unavailable_v1</x:v>
      </x:c>
      <x:c r="R64" s="267" t="str">
        <x:v>Emit explicit null canonical debt normalized equity real-dollar LTV and equity-rate rows rather than substituting a PMMS sensitivity</x:v>
      </x:c>
      <x:c r="S64" s="267" t="str">
        <x:v>Explicit null
3,248 rows
0 non-null
2022-01-31 to 2026-08-31</x:v>
      </x:c>
      <x:c r="T64" s="254" t="str">
        <x:v>A defines the preferred calibrated/normalized debt, equity, and leverage targets but the compatible California first-lien calibration universe is unavailable.</x:v>
      </x:c>
      <x:c r="U64" s="254" t="str">
        <x:v>Same explicit-null result in B and C; C marks these unavailable rows as not nowcasts and enforces the cutoff contract.</x:v>
      </x:c>
      <x:c r="V64" s="254" t="str">
        <x:v>All 2,958 comparable rows null in both</x:v>
      </x:c>
      <x:c r="W64" s="257" t="n">
        <x:v>0</x:v>
      </x:c>
      <x:c r="X64" s="257" t="n">
        <x:v>0</x:v>
      </x:c>
      <x:c r="Y64" s="257" t="n">
        <x:v>0</x:v>
      </x:c>
      <x:c r="Z64" s="257" t="n">
        <x:v>2958</x:v>
      </x:c>
      <x:c r="AA64" s="254" t="str">
        <x:v>Do not populate from NMDB all-mortgage totals or PMMS scenarios; proxies/sensitivities stay in separate IDs.</x:v>
      </x:c>
    </x:row>
    <x:row r="65" ht="78" customHeight="1">
      <x:c r="A65" s="254" t="str">
        <x:v>acs_aggregate_ltv_mortgaged</x:v>
      </x:c>
      <x:c r="B65" s="254" t="str">
        <x:v>Aggregate mortgaged-owner LTV</x:v>
      </x:c>
      <x:c r="C65" s="266" t="str">
        <x:v>Canonical calibrated debt/equity/LTV - unavailable</x:v>
      </x:c>
      <x:c r="D65" s="260" t="str">
        <x:v>Shared A/B/C</x:v>
      </x:c>
      <x:c r="E65" s="254" t="str">
        <x:v>acs_aggregate_ltv_mortgaged_benchmark</x:v>
      </x:c>
      <x:c r="F65" s="254" t="str">
        <x:v>ratio</x:v>
      </x:c>
      <x:c r="G65" s="254" t="str">
        <x:v>ACS 5-year plus NMDB period -&gt; ACS 5-year</x:v>
      </x:c>
      <x:c r="H65" s="254" t="str">
        <x:v>matched-universe ratio</x:v>
      </x:c>
      <x:c r="I65" s="254" t="str">
        <x:v>Explicit null
58 rows
0 non-null
Reference 2022-07-01; source period 2020-01-01 to 2024-12-31</x:v>
      </x:c>
      <x:c r="J65" s="254" t="str">
        <x:v>acs_aggregate_ltv_mortgaged_monthly_hist</x:v>
      </x:c>
      <x:c r="K65" s="267" t="str">
        <x:v>ratio
canonical_null</x:v>
      </x:c>
      <x:c r="L65" s="267" t="str">
        <x:v>version_b_calibrated_target_unavailable_v1</x:v>
      </x:c>
      <x:c r="M65" s="267" t="str">
        <x:v>Emit explicit null rows because the universe-compatible calibration control is unavailable</x:v>
      </x:c>
      <x:c r="N65" s="267" t="str">
        <x:v>Explicit null
9,106 rows
0 non-null
2013-03-31 to 2026-03-31</x:v>
      </x:c>
      <x:c r="O65" s="267" t="str">
        <x:v>acs_aggregate_ltv_mortgaged_monthly_rt</x:v>
      </x:c>
      <x:c r="P65" s="267" t="str">
        <x:v>ratio
canonical_null</x:v>
      </x:c>
      <x:c r="Q65" s="267" t="str">
        <x:v>version_c_calibrated_target_unavailable_v1</x:v>
      </x:c>
      <x:c r="R65" s="267" t="str">
        <x:v>Emit explicit null canonical debt normalized equity real-dollar LTV and equity-rate rows rather than substituting a PMMS sensitivity</x:v>
      </x:c>
      <x:c r="S65" s="267" t="str">
        <x:v>Explicit null
3,248 rows
0 non-null
2022-01-31 to 2026-08-31</x:v>
      </x:c>
      <x:c r="T65" s="254" t="str">
        <x:v>A defines the preferred calibrated/normalized debt, equity, and leverage targets but the compatible California first-lien calibration universe is unavailable.</x:v>
      </x:c>
      <x:c r="U65" s="254" t="str">
        <x:v>Same explicit-null result in B and C; C marks these unavailable rows as not nowcasts and enforces the cutoff contract.</x:v>
      </x:c>
      <x:c r="V65" s="254" t="str">
        <x:v>All 2,958 comparable rows null in both</x:v>
      </x:c>
      <x:c r="W65" s="257" t="n">
        <x:v>0</x:v>
      </x:c>
      <x:c r="X65" s="257" t="n">
        <x:v>0</x:v>
      </x:c>
      <x:c r="Y65" s="257" t="n">
        <x:v>0</x:v>
      </x:c>
      <x:c r="Z65" s="257" t="n">
        <x:v>2958</x:v>
      </x:c>
      <x:c r="AA65" s="254" t="str">
        <x:v>Do not populate from NMDB all-mortgage totals or PMMS scenarios; proxies/sensitivities stay in separate IDs.</x:v>
      </x:c>
    </x:row>
    <x:row r="66" ht="78" customHeight="1">
      <x:c r="A66" s="254" t="str">
        <x:v>acs_equity_rate_mortgaged</x:v>
      </x:c>
      <x:c r="B66" s="254" t="str">
        <x:v>Mortgaged-owner equity rate</x:v>
      </x:c>
      <x:c r="C66" s="266" t="str">
        <x:v>Canonical calibrated debt/equity/LTV - unavailable</x:v>
      </x:c>
      <x:c r="D66" s="260" t="str">
        <x:v>Shared A/B/C</x:v>
      </x:c>
      <x:c r="E66" s="254" t="str">
        <x:v>acs_equity_rate_mortgaged_benchmark</x:v>
      </x:c>
      <x:c r="F66" s="254" t="str">
        <x:v>ratio</x:v>
      </x:c>
      <x:c r="G66" s="254" t="str">
        <x:v>ACS 5-year plus NMDB period -&gt; ACS 5-year</x:v>
      </x:c>
      <x:c r="H66" s="254" t="str">
        <x:v>one minus matched aggregate LTV</x:v>
      </x:c>
      <x:c r="I66" s="254" t="str">
        <x:v>Explicit null
58 rows
0 non-null
Reference 2022-07-01; source period 2020-01-01 to 2024-12-31</x:v>
      </x:c>
      <x:c r="J66" s="254" t="str">
        <x:v>acs_equity_rate_mortgaged_monthly_hist</x:v>
      </x:c>
      <x:c r="K66" s="267" t="str">
        <x:v>ratio
canonical_null</x:v>
      </x:c>
      <x:c r="L66" s="267" t="str">
        <x:v>version_b_calibrated_target_unavailable_v1</x:v>
      </x:c>
      <x:c r="M66" s="267" t="str">
        <x:v>Emit explicit null rows because the universe-compatible calibration control is unavailable</x:v>
      </x:c>
      <x:c r="N66" s="267" t="str">
        <x:v>Explicit null
9,106 rows
0 non-null
2013-03-31 to 2026-03-31</x:v>
      </x:c>
      <x:c r="O66" s="267" t="str">
        <x:v>acs_equity_rate_mortgaged_monthly_rt</x:v>
      </x:c>
      <x:c r="P66" s="267" t="str">
        <x:v>ratio
canonical_null</x:v>
      </x:c>
      <x:c r="Q66" s="267" t="str">
        <x:v>version_c_calibrated_target_unavailable_v1</x:v>
      </x:c>
      <x:c r="R66" s="267" t="str">
        <x:v>Emit explicit null canonical debt normalized equity real-dollar LTV and equity-rate rows rather than substituting a PMMS sensitivity</x:v>
      </x:c>
      <x:c r="S66" s="267" t="str">
        <x:v>Explicit null
3,248 rows
0 non-null
2022-01-31 to 2026-08-31</x:v>
      </x:c>
      <x:c r="T66" s="254" t="str">
        <x:v>A defines the preferred calibrated/normalized debt, equity, and leverage targets but the compatible California first-lien calibration universe is unavailable.</x:v>
      </x:c>
      <x:c r="U66" s="254" t="str">
        <x:v>Same explicit-null result in B and C; C marks these unavailable rows as not nowcasts and enforces the cutoff contract.</x:v>
      </x:c>
      <x:c r="V66" s="254" t="str">
        <x:v>All 2,958 comparable rows null in both</x:v>
      </x:c>
      <x:c r="W66" s="257" t="n">
        <x:v>0</x:v>
      </x:c>
      <x:c r="X66" s="257" t="n">
        <x:v>0</x:v>
      </x:c>
      <x:c r="Y66" s="257" t="n">
        <x:v>0</x:v>
      </x:c>
      <x:c r="Z66" s="257" t="n">
        <x:v>2958</x:v>
      </x:c>
      <x:c r="AA66" s="254" t="str">
        <x:v>Do not populate from NMDB all-mortgage totals or PMMS scenarios; proxies/sensitivities stay in separate IDs.</x:v>
      </x:c>
    </x:row>
    <x:row r="67" ht="78" customHeight="1">
      <x:c r="A67" s="254" t="str">
        <x:v>acs_implied_first_mortgage_balance_raw</x:v>
      </x:c>
      <x:c r="B67" s="254" t="str">
        <x:v>Raw implied first-mortgage balance</x:v>
      </x:c>
      <x:c r="C67" s="271" t="str">
        <x:v>Raw mortgage-debt path</x:v>
      </x:c>
      <x:c r="D67" s="260" t="str">
        <x:v>Shared A/B/C</x:v>
      </x:c>
      <x:c r="E67" s="254" t="str">
        <x:v>acs_implied_first_mortgage_balance_raw_benchmark</x:v>
      </x:c>
      <x:c r="F67" s="254" t="str">
        <x:v>USD</x:v>
      </x:c>
      <x:c r="G67" s="254" t="str">
        <x:v>ACS 5-year plus parameter period -&gt; ACS 5-year</x:v>
      </x:c>
      <x:c r="H67" s="254" t="str">
        <x:v>annuity capitalization</x:v>
      </x:c>
      <x:c r="I67" s="254" t="str">
        <x:v>Fully populated
58 rows
58 non-null
Reference 2022-07-01; source period 2020-01-01 to 2024-12-31</x:v>
      </x:c>
      <x:c r="J67" s="254" t="str">
        <x:v>acs_implied_first_mortgage_balance_raw_monthly_hist</x:v>
      </x:c>
      <x:c r="K67" s="254" t="str">
        <x:v>USD
scenario</x:v>
      </x:c>
      <x:c r="L67" s="254" t="str">
        <x:v>version_b_single_anchor_nmdb_redfin_raw_debt_v1</x:v>
      </x:c>
      <x:c r="M67" s="254" t="str">
        <x:v>Scale the raw anchor by the NMDB UPB ratio and county sales-share ratio; NMDB is a growth indicator only</x:v>
      </x:c>
      <x:c r="N67" s="254" t="str">
        <x:v>Partially populated
9,106 rows
6,554 non-null
2013-03-31 to 2026-03-31
Flags: 6,032 interpolated</x:v>
      </x:c>
      <x:c r="O67" s="254" t="str">
        <x:v>acs_implied_first_mortgage_balance_raw_monthly_rt</x:v>
      </x:c>
      <x:c r="P67" s="254" t="str">
        <x:v>USD
scenario</x:v>
      </x:c>
      <x:c r="Q67" s="254" t="str">
        <x:v>version_c_composite_pmms_raw_debt_nowcast_sensitivity_v1</x:v>
      </x:c>
      <x:c r="R67" s="254" t="str">
        <x:v>Build the 25-year central 20-year low and 30-year high envelopes at the anchor reference month and scale each path separately through the cutoff vintage</x:v>
      </x:c>
      <x:c r="S67" s="254" t="str">
        <x:v>Fully populated
3,248 rows
3,248 non-null
2022-01-31 to 2026-08-31
Flags: 1,160 nowcast; 3,190 carried</x:v>
      </x:c>
      <x:c r="T67" s="254" t="str">
        <x:v>A is the source-frequency raw implied-debt anchor and uncertainty envelope.</x:v>
      </x:c>
      <x:c r="U67" s="268" t="str">
        <x:v>Different formula. B scales the A anchor by California NMDB UPB growth times county Redfin sales-share change. C builds a cutoff-eligible PMMS payment/term envelope and rescales low/central/high to A at the reference month.</x:v>
      </x:c>
      <x:c r="V67" s="268" t="str">
        <x:v>2,204 materially different; 58 equal; 696 one-null</x:v>
      </x:c>
      <x:c r="W67" s="272" t="n">
        <x:v>2204</x:v>
      </x:c>
      <x:c r="X67" s="257" t="n">
        <x:v>58</x:v>
      </x:c>
      <x:c r="Y67" s="257" t="n">
        <x:v>696</x:v>
      </x:c>
      <x:c r="Z67" s="257" t="n">
        <x:v>0</x:v>
      </x:c>
      <x:c r="AA67" s="254" t="str">
        <x:v>The paths coincide at the benchmark reference month by construction and diverge afterward.</x:v>
      </x:c>
    </x:row>
    <x:row r="68" ht="78" customHeight="1">
      <x:c r="A68" s="254" t="str">
        <x:v>acs_implied_first_mortgage_balance_raw_pmms_20y_sensitivity</x:v>
      </x:c>
      <x:c r="B68" s="254" t="str">
        <x:v>Raw implied first-mortgage balance PMMS 20-year sensitivity</x:v>
      </x:c>
      <x:c r="C68" s="271" t="str">
        <x:v>PMMS debt sensitivities</x:v>
      </x:c>
      <x:c r="D68" s="260" t="str">
        <x:v>Shared A/B/C</x:v>
      </x:c>
      <x:c r="E68" s="254" t="str">
        <x:v>acs_implied_first_mortgage_balance_raw_pmms_20y_sensitivity_benchmark</x:v>
      </x:c>
      <x:c r="F68" s="254" t="str">
        <x:v>USD</x:v>
      </x:c>
      <x:c r="G68" s="254" t="str">
        <x:v>ACS 5-year plus monthly rate parameter -&gt; ACS 5-year</x:v>
      </x:c>
      <x:c r="H68" s="254" t="str">
        <x:v>annuity capitalization at a fixed 20-year remaining term</x:v>
      </x:c>
      <x:c r="I68" s="254" t="str">
        <x:v>Fully populated
58 rows
58 non-null
Reference 2022-07-01; source period 2020-01-01 to 2024-12-31</x:v>
      </x:c>
      <x:c r="J68" s="254" t="str">
        <x:v>acs_implied_first_mortgage_balance_raw_pmms_20y_sensitivity_monthly_hist</x:v>
      </x:c>
      <x:c r="K68" s="254" t="str">
        <x:v>USD
scenario</x:v>
      </x:c>
      <x:c r="L68" s="254" t="str">
        <x:v>version_b_single_anchor_nmdb_redfin_pmms_debt_v1</x:v>
      </x:c>
      <x:c r="M68" s="254" t="str">
        <x:v>Anchor times the NMDB UPB ratio times the county sales-share ratio; NMDB is a growth indicator only</x:v>
      </x:c>
      <x:c r="N68" s="254" t="str">
        <x:v>Partially populated
9,106 rows
6,554 non-null
2013-03-31 to 2026-03-31
Flags: 6,032 interpolated</x:v>
      </x:c>
      <x:c r="O68" s="254" t="str">
        <x:v>acs_implied_first_mortgage_balance_raw_pmms_20y_sensitivity_monthly_rt</x:v>
      </x:c>
      <x:c r="P68" s="254" t="str">
        <x:v>USD
scenario</x:v>
      </x:c>
      <x:c r="Q68" s="254" t="str">
        <x:v>version_c_stepwise_pmms_rate_debt_sensitivity_v1</x:v>
      </x:c>
      <x:c r="R68" s="254" t="str">
        <x:v>Capitalize central low and high payment values with matching fixed 20-year 25-year or 30-year annuity factors at the last PMMS observation available by the cutoff and target month</x:v>
      </x:c>
      <x:c r="S68" s="254" t="str">
        <x:v>Fully populated
3,248 rows
3,248 non-null
2022-01-31 to 2026-08-31
Flags: 1,160 nowcast; 3,190 carried</x:v>
      </x:c>
      <x:c r="T68" s="254" t="str">
        <x:v>A supplies the source-frequency PMMS term-sensitivity anchor.</x:v>
      </x:c>
      <x:c r="U68" s="268" t="str">
        <x:v>Different formula. B uses NMDB all-mortgage growth times county Redfin sales-share change; C capitalizes carried P&amp;I using the latest cutoff-eligible PMMS rate and the fixed 20/25/30-year term.</x:v>
      </x:c>
      <x:c r="V68" s="268" t="str">
        <x:v>2,204 materially different; 58 equal; 696 one-null</x:v>
      </x:c>
      <x:c r="W68" s="272" t="n">
        <x:v>2204</x:v>
      </x:c>
      <x:c r="X68" s="257" t="n">
        <x:v>58</x:v>
      </x:c>
      <x:c r="Y68" s="257" t="n">
        <x:v>696</x:v>
      </x:c>
      <x:c r="Z68" s="257" t="n">
        <x:v>0</x:v>
      </x:c>
      <x:c r="AA68" s="254" t="str">
        <x:v>These are labeled sensitivities, never the preferred calibrated debt stock.</x:v>
      </x:c>
    </x:row>
    <x:row r="69" ht="78" customHeight="1">
      <x:c r="A69" s="254" t="str">
        <x:v>acs_implied_first_mortgage_balance_raw_pmms_25y_sensitivity</x:v>
      </x:c>
      <x:c r="B69" s="254" t="str">
        <x:v>Raw implied first-mortgage balance PMMS 25-year sensitivity</x:v>
      </x:c>
      <x:c r="C69" s="271" t="str">
        <x:v>PMMS debt sensitivities</x:v>
      </x:c>
      <x:c r="D69" s="260" t="str">
        <x:v>Shared A/B/C</x:v>
      </x:c>
      <x:c r="E69" s="254" t="str">
        <x:v>acs_implied_first_mortgage_balance_raw_pmms_25y_sensitivity_benchmark</x:v>
      </x:c>
      <x:c r="F69" s="254" t="str">
        <x:v>USD</x:v>
      </x:c>
      <x:c r="G69" s="254" t="str">
        <x:v>ACS 5-year plus monthly rate parameter -&gt; ACS 5-year</x:v>
      </x:c>
      <x:c r="H69" s="254" t="str">
        <x:v>annuity capitalization at a fixed 25-year remaining term</x:v>
      </x:c>
      <x:c r="I69" s="254" t="str">
        <x:v>Fully populated
58 rows
58 non-null
Reference 2022-07-01; source period 2020-01-01 to 2024-12-31</x:v>
      </x:c>
      <x:c r="J69" s="254" t="str">
        <x:v>acs_implied_first_mortgage_balance_raw_pmms_25y_sensitivity_monthly_hist</x:v>
      </x:c>
      <x:c r="K69" s="254" t="str">
        <x:v>USD
scenario</x:v>
      </x:c>
      <x:c r="L69" s="254" t="str">
        <x:v>version_b_single_anchor_nmdb_redfin_pmms_debt_v1</x:v>
      </x:c>
      <x:c r="M69" s="254" t="str">
        <x:v>Anchor times the NMDB UPB ratio times the county sales-share ratio; NMDB is a growth indicator only</x:v>
      </x:c>
      <x:c r="N69" s="254" t="str">
        <x:v>Partially populated
9,106 rows
6,554 non-null
2013-03-31 to 2026-03-31
Flags: 6,032 interpolated</x:v>
      </x:c>
      <x:c r="O69" s="254" t="str">
        <x:v>acs_implied_first_mortgage_balance_raw_pmms_25y_sensitivity_monthly_rt</x:v>
      </x:c>
      <x:c r="P69" s="254" t="str">
        <x:v>USD
scenario</x:v>
      </x:c>
      <x:c r="Q69" s="254" t="str">
        <x:v>version_c_stepwise_pmms_rate_debt_sensitivity_v1</x:v>
      </x:c>
      <x:c r="R69" s="254" t="str">
        <x:v>Capitalize central low and high payment values with matching fixed 20-year 25-year or 30-year annuity factors at the last PMMS observation available by the cutoff and target month</x:v>
      </x:c>
      <x:c r="S69" s="254" t="str">
        <x:v>Fully populated
3,248 rows
3,248 non-null
2022-01-31 to 2026-08-31
Flags: 1,160 nowcast; 3,190 carried</x:v>
      </x:c>
      <x:c r="T69" s="254" t="str">
        <x:v>A supplies the source-frequency PMMS term-sensitivity anchor.</x:v>
      </x:c>
      <x:c r="U69" s="268" t="str">
        <x:v>Different formula. B uses NMDB all-mortgage growth times county Redfin sales-share change; C capitalizes carried P&amp;I using the latest cutoff-eligible PMMS rate and the fixed 20/25/30-year term.</x:v>
      </x:c>
      <x:c r="V69" s="268" t="str">
        <x:v>2,204 materially different; 58 equal; 696 one-null</x:v>
      </x:c>
      <x:c r="W69" s="272" t="n">
        <x:v>2204</x:v>
      </x:c>
      <x:c r="X69" s="257" t="n">
        <x:v>58</x:v>
      </x:c>
      <x:c r="Y69" s="257" t="n">
        <x:v>696</x:v>
      </x:c>
      <x:c r="Z69" s="257" t="n">
        <x:v>0</x:v>
      </x:c>
      <x:c r="AA69" s="254" t="str">
        <x:v>These are labeled sensitivities, never the preferred calibrated debt stock.</x:v>
      </x:c>
    </x:row>
    <x:row r="70" ht="78" customHeight="1">
      <x:c r="A70" s="254" t="str">
        <x:v>acs_implied_first_mortgage_balance_raw_pmms_30y_sensitivity</x:v>
      </x:c>
      <x:c r="B70" s="254" t="str">
        <x:v>Raw implied first-mortgage balance PMMS 30-year sensitivity</x:v>
      </x:c>
      <x:c r="C70" s="271" t="str">
        <x:v>PMMS debt sensitivities</x:v>
      </x:c>
      <x:c r="D70" s="260" t="str">
        <x:v>Shared A/B/C</x:v>
      </x:c>
      <x:c r="E70" s="254" t="str">
        <x:v>acs_implied_first_mortgage_balance_raw_pmms_30y_sensitivity_benchmark</x:v>
      </x:c>
      <x:c r="F70" s="254" t="str">
        <x:v>USD</x:v>
      </x:c>
      <x:c r="G70" s="254" t="str">
        <x:v>ACS 5-year plus monthly rate parameter -&gt; ACS 5-year</x:v>
      </x:c>
      <x:c r="H70" s="254" t="str">
        <x:v>annuity capitalization at a fixed 30-year remaining term</x:v>
      </x:c>
      <x:c r="I70" s="254" t="str">
        <x:v>Fully populated
58 rows
58 non-null
Reference 2022-07-01; source period 2020-01-01 to 2024-12-31</x:v>
      </x:c>
      <x:c r="J70" s="254" t="str">
        <x:v>acs_implied_first_mortgage_balance_raw_pmms_30y_sensitivity_monthly_hist</x:v>
      </x:c>
      <x:c r="K70" s="254" t="str">
        <x:v>USD
scenario</x:v>
      </x:c>
      <x:c r="L70" s="254" t="str">
        <x:v>version_b_single_anchor_nmdb_redfin_pmms_debt_v1</x:v>
      </x:c>
      <x:c r="M70" s="254" t="str">
        <x:v>Anchor times the NMDB UPB ratio times the county sales-share ratio; NMDB is a growth indicator only</x:v>
      </x:c>
      <x:c r="N70" s="254" t="str">
        <x:v>Partially populated
9,106 rows
6,554 non-null
2013-03-31 to 2026-03-31
Flags: 6,032 interpolated</x:v>
      </x:c>
      <x:c r="O70" s="254" t="str">
        <x:v>acs_implied_first_mortgage_balance_raw_pmms_30y_sensitivity_monthly_rt</x:v>
      </x:c>
      <x:c r="P70" s="254" t="str">
        <x:v>USD
scenario</x:v>
      </x:c>
      <x:c r="Q70" s="254" t="str">
        <x:v>version_c_stepwise_pmms_rate_debt_sensitivity_v1</x:v>
      </x:c>
      <x:c r="R70" s="254" t="str">
        <x:v>Capitalize central low and high payment values with matching fixed 20-year 25-year or 30-year annuity factors at the last PMMS observation available by the cutoff and target month</x:v>
      </x:c>
      <x:c r="S70" s="254" t="str">
        <x:v>Fully populated
3,248 rows
3,248 non-null
2022-01-31 to 2026-08-31
Flags: 1,160 nowcast; 3,190 carried</x:v>
      </x:c>
      <x:c r="T70" s="254" t="str">
        <x:v>A supplies the source-frequency PMMS term-sensitivity anchor.</x:v>
      </x:c>
      <x:c r="U70" s="268" t="str">
        <x:v>Different formula. B uses NMDB all-mortgage growth times county Redfin sales-share change; C capitalizes carried P&amp;I using the latest cutoff-eligible PMMS rate and the fixed 20/25/30-year term.</x:v>
      </x:c>
      <x:c r="V70" s="268" t="str">
        <x:v>2,204 materially different; 58 equal; 696 one-null</x:v>
      </x:c>
      <x:c r="W70" s="272" t="n">
        <x:v>2204</x:v>
      </x:c>
      <x:c r="X70" s="257" t="n">
        <x:v>58</x:v>
      </x:c>
      <x:c r="Y70" s="257" t="n">
        <x:v>696</x:v>
      </x:c>
      <x:c r="Z70" s="257" t="n">
        <x:v>0</x:v>
      </x:c>
      <x:c r="AA70" s="254" t="str">
        <x:v>These are labeled sensitivities, never the preferred calibrated debt stock.</x:v>
      </x:c>
    </x:row>
    <x:row r="71" ht="78" customHeight="1">
      <x:c r="A71" s="254" t="str">
        <x:v>acs_implied_owner_occupied_home_equity_mortgaged_pmms_20y_scenario</x:v>
      </x:c>
      <x:c r="B71" s="254" t="str">
        <x:v>Mortgaged-owner home equity PMMS 20-year scenario</x:v>
      </x:c>
      <x:c r="C71" s="271" t="str">
        <x:v>PMMS equity scenarios</x:v>
      </x:c>
      <x:c r="D71" s="260" t="str">
        <x:v>Shared A/B/C</x:v>
      </x:c>
      <x:c r="E71" s="254" t="str">
        <x:v>acs_implied_owner_occupied_home_equity_mortgaged_pmms_20y_scenario_benchmark</x:v>
      </x:c>
      <x:c r="F71" s="254" t="str">
        <x:v>USD</x:v>
      </x:c>
      <x:c r="G71" s="254" t="str">
        <x:v>ACS 5-year plus monthly rate parameter -&gt; ACS 5-year</x:v>
      </x:c>
      <x:c r="H71" s="254" t="str">
        <x:v>matched-universe scenario subtraction</x:v>
      </x:c>
      <x:c r="I71" s="254" t="str">
        <x:v>Fully populated
58 rows
58 non-null
Reference 2022-07-01; source period 2020-01-01 to 2024-12-31</x:v>
      </x:c>
      <x:c r="J71" s="254" t="str">
        <x:v>acs_implied_owner_occupied_home_equity_mortgaged_pmms_20y_scenario_monthly_hist</x:v>
      </x:c>
      <x:c r="K71" s="254" t="str">
        <x:v>USD
scenario</x:v>
      </x:c>
      <x:c r="L71" s="254" t="str">
        <x:v>version_b_hpi_updated_pmms_equity_v1</x:v>
      </x:c>
      <x:c r="M71" s="254" t="str">
        <x:v>Update the owner-value stock by the ZHVI ratio and subtract matching scenario debt</x:v>
      </x:c>
      <x:c r="N71" s="254" t="str">
        <x:v>Partially populated
9,106 rows
6,521 non-null
2013-03-31 to 2026-03-31
Flags: 6,032 interpolated</x:v>
      </x:c>
      <x:c r="O71" s="254" t="str">
        <x:v>acs_implied_owner_occupied_home_equity_mortgaged_pmms_20y_scenario_monthly_rt</x:v>
      </x:c>
      <x:c r="P71" s="254" t="str">
        <x:v>USD
scenario</x:v>
      </x:c>
      <x:c r="Q71" s="254" t="str">
        <x:v>version_c_hpi_updated_pmms_equity_v1</x:v>
      </x:c>
      <x:c r="R71" s="254" t="str">
        <x:v>Update matched owner-value central low and high by a cutoff-safe HPI ratio then subtract debt central debt-high for low and debt-low for high</x:v>
      </x:c>
      <x:c r="S71" s="254" t="str">
        <x:v>Fully populated
3,248 rows
3,248 non-null
2022-01-31 to 2026-08-31
Flags: 1,160 nowcast; 3,190 carried</x:v>
      </x:c>
      <x:c r="T71" s="254" t="str">
        <x:v>A supplies owner-value and scenario-equity anchors at source frequency.</x:v>
      </x:c>
      <x:c r="U71" s="268" t="str">
        <x:v>Both subtract matching scenario debt from HPI-updated owner value, but B uses its NMDB/Redfin debt path and full-history Zillow series; C uses cutoff-eligible HPI and its PMMS payment-capitalization debt path.</x:v>
      </x:c>
      <x:c r="V71" s="268" t="str">
        <x:v>2,204 materially different; 58 equal; 696 one-null</x:v>
      </x:c>
      <x:c r="W71" s="272" t="n">
        <x:v>2204</x:v>
      </x:c>
      <x:c r="X71" s="257" t="n">
        <x:v>58</x:v>
      </x:c>
      <x:c r="Y71" s="257" t="n">
        <x:v>696</x:v>
      </x:c>
      <x:c r="Z71" s="257" t="n">
        <x:v>0</x:v>
      </x:c>
      <x:c r="AA71" s="254" t="str">
        <x:v>Debt plus equity is required to equal the matched modeled owner-value stock in each version.</x:v>
      </x:c>
    </x:row>
    <x:row r="72" ht="78" customHeight="1">
      <x:c r="A72" s="254" t="str">
        <x:v>acs_implied_owner_occupied_home_equity_all_pmms_20y_scenario</x:v>
      </x:c>
      <x:c r="B72" s="254" t="str">
        <x:v>All-owner home equity PMMS 20-year scenario</x:v>
      </x:c>
      <x:c r="C72" s="271" t="str">
        <x:v>PMMS equity scenarios</x:v>
      </x:c>
      <x:c r="D72" s="260" t="str">
        <x:v>Shared A/B/C</x:v>
      </x:c>
      <x:c r="E72" s="254" t="str">
        <x:v>acs_implied_owner_occupied_home_equity_all_pmms_20y_scenario_benchmark</x:v>
      </x:c>
      <x:c r="F72" s="254" t="str">
        <x:v>USD</x:v>
      </x:c>
      <x:c r="G72" s="254" t="str">
        <x:v>ACS 5-year plus monthly rate parameter -&gt; ACS 5-year</x:v>
      </x:c>
      <x:c r="H72" s="254" t="str">
        <x:v>matched-universe scenario identity</x:v>
      </x:c>
      <x:c r="I72" s="254" t="str">
        <x:v>Fully populated
58 rows
58 non-null
Reference 2022-07-01; source period 2020-01-01 to 2024-12-31</x:v>
      </x:c>
      <x:c r="J72" s="254" t="str">
        <x:v>acs_implied_owner_occupied_home_equity_all_pmms_20y_scenario_monthly_hist</x:v>
      </x:c>
      <x:c r="K72" s="254" t="str">
        <x:v>USD
scenario</x:v>
      </x:c>
      <x:c r="L72" s="254" t="str">
        <x:v>version_b_hpi_updated_pmms_equity_v1</x:v>
      </x:c>
      <x:c r="M72" s="254" t="str">
        <x:v>Update the owner-value stock by the ZHVI ratio and subtract matching scenario debt</x:v>
      </x:c>
      <x:c r="N72" s="254" t="str">
        <x:v>Partially populated
9,106 rows
6,521 non-null
2013-03-31 to 2026-03-31
Flags: 6,032 interpolated</x:v>
      </x:c>
      <x:c r="O72" s="254" t="str">
        <x:v>acs_implied_owner_occupied_home_equity_all_pmms_20y_scenario_monthly_rt</x:v>
      </x:c>
      <x:c r="P72" s="254" t="str">
        <x:v>USD
scenario</x:v>
      </x:c>
      <x:c r="Q72" s="254" t="str">
        <x:v>version_c_hpi_updated_pmms_equity_v1</x:v>
      </x:c>
      <x:c r="R72" s="254" t="str">
        <x:v>Update matched owner-value central low and high by a cutoff-safe HPI ratio then subtract debt central debt-high for low and debt-low for high</x:v>
      </x:c>
      <x:c r="S72" s="254" t="str">
        <x:v>Fully populated
3,248 rows
3,248 non-null
2022-01-31 to 2026-08-31
Flags: 1,160 nowcast; 3,190 carried</x:v>
      </x:c>
      <x:c r="T72" s="254" t="str">
        <x:v>A supplies owner-value and scenario-equity anchors at source frequency.</x:v>
      </x:c>
      <x:c r="U72" s="268" t="str">
        <x:v>Both subtract matching scenario debt from HPI-updated owner value, but B uses its NMDB/Redfin debt path and full-history Zillow series; C uses cutoff-eligible HPI and its PMMS payment-capitalization debt path.</x:v>
      </x:c>
      <x:c r="V72" s="268" t="str">
        <x:v>2,223 materially different; 39 equal; 696 one-null</x:v>
      </x:c>
      <x:c r="W72" s="272" t="n">
        <x:v>2223</x:v>
      </x:c>
      <x:c r="X72" s="257" t="n">
        <x:v>39</x:v>
      </x:c>
      <x:c r="Y72" s="257" t="n">
        <x:v>696</x:v>
      </x:c>
      <x:c r="Z72" s="257" t="n">
        <x:v>0</x:v>
      </x:c>
      <x:c r="AA72" s="254" t="str">
        <x:v>Debt plus equity is required to equal the matched modeled owner-value stock in each version.</x:v>
      </x:c>
    </x:row>
    <x:row r="73" ht="78" customHeight="1">
      <x:c r="A73" s="254" t="str">
        <x:v>acs_implied_owner_occupied_home_equity_mortgaged_pmms_25y_scenario</x:v>
      </x:c>
      <x:c r="B73" s="254" t="str">
        <x:v>Mortgaged-owner home equity PMMS 25-year scenario</x:v>
      </x:c>
      <x:c r="C73" s="271" t="str">
        <x:v>PMMS equity scenarios</x:v>
      </x:c>
      <x:c r="D73" s="260" t="str">
        <x:v>Shared A/B/C</x:v>
      </x:c>
      <x:c r="E73" s="254" t="str">
        <x:v>acs_implied_owner_occupied_home_equity_mortgaged_pmms_25y_scenario_benchmark</x:v>
      </x:c>
      <x:c r="F73" s="254" t="str">
        <x:v>USD</x:v>
      </x:c>
      <x:c r="G73" s="254" t="str">
        <x:v>ACS 5-year plus monthly rate parameter -&gt; ACS 5-year</x:v>
      </x:c>
      <x:c r="H73" s="254" t="str">
        <x:v>matched-universe scenario subtraction</x:v>
      </x:c>
      <x:c r="I73" s="254" t="str">
        <x:v>Fully populated
58 rows
58 non-null
Reference 2022-07-01; source period 2020-01-01 to 2024-12-31</x:v>
      </x:c>
      <x:c r="J73" s="254" t="str">
        <x:v>acs_implied_owner_occupied_home_equity_mortgaged_pmms_25y_scenario_monthly_hist</x:v>
      </x:c>
      <x:c r="K73" s="254" t="str">
        <x:v>USD
scenario</x:v>
      </x:c>
      <x:c r="L73" s="254" t="str">
        <x:v>version_b_hpi_updated_pmms_equity_v1</x:v>
      </x:c>
      <x:c r="M73" s="254" t="str">
        <x:v>Update the owner-value stock by the ZHVI ratio and subtract matching scenario debt</x:v>
      </x:c>
      <x:c r="N73" s="254" t="str">
        <x:v>Partially populated
9,106 rows
6,521 non-null
2013-03-31 to 2026-03-31
Flags: 6,032 interpolated</x:v>
      </x:c>
      <x:c r="O73" s="254" t="str">
        <x:v>acs_implied_owner_occupied_home_equity_mortgaged_pmms_25y_scenario_monthly_rt</x:v>
      </x:c>
      <x:c r="P73" s="254" t="str">
        <x:v>USD
scenario</x:v>
      </x:c>
      <x:c r="Q73" s="254" t="str">
        <x:v>version_c_hpi_updated_pmms_equity_v1</x:v>
      </x:c>
      <x:c r="R73" s="254" t="str">
        <x:v>Update matched owner-value central low and high by a cutoff-safe HPI ratio then subtract debt central debt-high for low and debt-low for high</x:v>
      </x:c>
      <x:c r="S73" s="254" t="str">
        <x:v>Fully populated
3,248 rows
3,248 non-null
2022-01-31 to 2026-08-31
Flags: 1,160 nowcast; 3,190 carried</x:v>
      </x:c>
      <x:c r="T73" s="254" t="str">
        <x:v>A supplies owner-value and scenario-equity anchors at source frequency.</x:v>
      </x:c>
      <x:c r="U73" s="268" t="str">
        <x:v>Both subtract matching scenario debt from HPI-updated owner value, but B uses its NMDB/Redfin debt path and full-history Zillow series; C uses cutoff-eligible HPI and its PMMS payment-capitalization debt path.</x:v>
      </x:c>
      <x:c r="V73" s="268" t="str">
        <x:v>2,204 materially different; 58 equal; 696 one-null</x:v>
      </x:c>
      <x:c r="W73" s="272" t="n">
        <x:v>2204</x:v>
      </x:c>
      <x:c r="X73" s="257" t="n">
        <x:v>58</x:v>
      </x:c>
      <x:c r="Y73" s="257" t="n">
        <x:v>696</x:v>
      </x:c>
      <x:c r="Z73" s="257" t="n">
        <x:v>0</x:v>
      </x:c>
      <x:c r="AA73" s="254" t="str">
        <x:v>Debt plus equity is required to equal the matched modeled owner-value stock in each version.</x:v>
      </x:c>
    </x:row>
    <x:row r="74" ht="78" customHeight="1">
      <x:c r="A74" s="254" t="str">
        <x:v>acs_implied_owner_occupied_home_equity_all_pmms_25y_scenario</x:v>
      </x:c>
      <x:c r="B74" s="254" t="str">
        <x:v>All-owner home equity PMMS 25-year scenario</x:v>
      </x:c>
      <x:c r="C74" s="271" t="str">
        <x:v>PMMS equity scenarios</x:v>
      </x:c>
      <x:c r="D74" s="260" t="str">
        <x:v>Shared A/B/C</x:v>
      </x:c>
      <x:c r="E74" s="254" t="str">
        <x:v>acs_implied_owner_occupied_home_equity_all_pmms_25y_scenario_benchmark</x:v>
      </x:c>
      <x:c r="F74" s="254" t="str">
        <x:v>USD</x:v>
      </x:c>
      <x:c r="G74" s="254" t="str">
        <x:v>ACS 5-year plus monthly rate parameter -&gt; ACS 5-year</x:v>
      </x:c>
      <x:c r="H74" s="254" t="str">
        <x:v>matched-universe scenario identity</x:v>
      </x:c>
      <x:c r="I74" s="254" t="str">
        <x:v>Fully populated
58 rows
58 non-null
Reference 2022-07-01; source period 2020-01-01 to 2024-12-31</x:v>
      </x:c>
      <x:c r="J74" s="254" t="str">
        <x:v>acs_implied_owner_occupied_home_equity_all_pmms_25y_scenario_monthly_hist</x:v>
      </x:c>
      <x:c r="K74" s="254" t="str">
        <x:v>USD
scenario</x:v>
      </x:c>
      <x:c r="L74" s="254" t="str">
        <x:v>version_b_hpi_updated_pmms_equity_v1</x:v>
      </x:c>
      <x:c r="M74" s="254" t="str">
        <x:v>Update the owner-value stock by the ZHVI ratio and subtract matching scenario debt</x:v>
      </x:c>
      <x:c r="N74" s="254" t="str">
        <x:v>Partially populated
9,106 rows
6,521 non-null
2013-03-31 to 2026-03-31
Flags: 6,032 interpolated</x:v>
      </x:c>
      <x:c r="O74" s="254" t="str">
        <x:v>acs_implied_owner_occupied_home_equity_all_pmms_25y_scenario_monthly_rt</x:v>
      </x:c>
      <x:c r="P74" s="254" t="str">
        <x:v>USD
scenario</x:v>
      </x:c>
      <x:c r="Q74" s="254" t="str">
        <x:v>version_c_hpi_updated_pmms_equity_v1</x:v>
      </x:c>
      <x:c r="R74" s="254" t="str">
        <x:v>Update matched owner-value central low and high by a cutoff-safe HPI ratio then subtract debt central debt-high for low and debt-low for high</x:v>
      </x:c>
      <x:c r="S74" s="254" t="str">
        <x:v>Fully populated
3,248 rows
3,248 non-null
2022-01-31 to 2026-08-31
Flags: 1,160 nowcast; 3,190 carried</x:v>
      </x:c>
      <x:c r="T74" s="254" t="str">
        <x:v>A supplies owner-value and scenario-equity anchors at source frequency.</x:v>
      </x:c>
      <x:c r="U74" s="268" t="str">
        <x:v>Both subtract matching scenario debt from HPI-updated owner value, but B uses its NMDB/Redfin debt path and full-history Zillow series; C uses cutoff-eligible HPI and its PMMS payment-capitalization debt path.</x:v>
      </x:c>
      <x:c r="V74" s="268" t="str">
        <x:v>2,223 materially different; 39 equal; 696 one-null</x:v>
      </x:c>
      <x:c r="W74" s="272" t="n">
        <x:v>2223</x:v>
      </x:c>
      <x:c r="X74" s="257" t="n">
        <x:v>39</x:v>
      </x:c>
      <x:c r="Y74" s="257" t="n">
        <x:v>696</x:v>
      </x:c>
      <x:c r="Z74" s="257" t="n">
        <x:v>0</x:v>
      </x:c>
      <x:c r="AA74" s="254" t="str">
        <x:v>Debt plus equity is required to equal the matched modeled owner-value stock in each version.</x:v>
      </x:c>
    </x:row>
    <x:row r="75" ht="78" customHeight="1">
      <x:c r="A75" s="254" t="str">
        <x:v>acs_implied_owner_occupied_home_equity_mortgaged_pmms_30y_scenario</x:v>
      </x:c>
      <x:c r="B75" s="254" t="str">
        <x:v>Mortgaged-owner home equity PMMS 30-year scenario</x:v>
      </x:c>
      <x:c r="C75" s="271" t="str">
        <x:v>PMMS equity scenarios</x:v>
      </x:c>
      <x:c r="D75" s="260" t="str">
        <x:v>Shared A/B/C</x:v>
      </x:c>
      <x:c r="E75" s="254" t="str">
        <x:v>acs_implied_owner_occupied_home_equity_mortgaged_pmms_30y_scenario_benchmark</x:v>
      </x:c>
      <x:c r="F75" s="254" t="str">
        <x:v>USD</x:v>
      </x:c>
      <x:c r="G75" s="254" t="str">
        <x:v>ACS 5-year plus monthly rate parameter -&gt; ACS 5-year</x:v>
      </x:c>
      <x:c r="H75" s="254" t="str">
        <x:v>matched-universe scenario subtraction</x:v>
      </x:c>
      <x:c r="I75" s="254" t="str">
        <x:v>Fully populated
58 rows
58 non-null
Reference 2022-07-01; source period 2020-01-01 to 2024-12-31</x:v>
      </x:c>
      <x:c r="J75" s="254" t="str">
        <x:v>acs_implied_owner_occupied_home_equity_mortgaged_pmms_30y_scenario_monthly_hist</x:v>
      </x:c>
      <x:c r="K75" s="254" t="str">
        <x:v>USD
scenario</x:v>
      </x:c>
      <x:c r="L75" s="254" t="str">
        <x:v>version_b_hpi_updated_pmms_equity_v1</x:v>
      </x:c>
      <x:c r="M75" s="254" t="str">
        <x:v>Update the owner-value stock by the ZHVI ratio and subtract matching scenario debt</x:v>
      </x:c>
      <x:c r="N75" s="254" t="str">
        <x:v>Partially populated
9,106 rows
6,521 non-null
2013-03-31 to 2026-03-31
Flags: 6,032 interpolated</x:v>
      </x:c>
      <x:c r="O75" s="254" t="str">
        <x:v>acs_implied_owner_occupied_home_equity_mortgaged_pmms_30y_scenario_monthly_rt</x:v>
      </x:c>
      <x:c r="P75" s="254" t="str">
        <x:v>USD
scenario</x:v>
      </x:c>
      <x:c r="Q75" s="254" t="str">
        <x:v>version_c_hpi_updated_pmms_equity_v1</x:v>
      </x:c>
      <x:c r="R75" s="254" t="str">
        <x:v>Update matched owner-value central low and high by a cutoff-safe HPI ratio then subtract debt central debt-high for low and debt-low for high</x:v>
      </x:c>
      <x:c r="S75" s="254" t="str">
        <x:v>Fully populated
3,248 rows
3,248 non-null
2022-01-31 to 2026-08-31
Flags: 1,160 nowcast; 3,190 carried</x:v>
      </x:c>
      <x:c r="T75" s="254" t="str">
        <x:v>A supplies owner-value and scenario-equity anchors at source frequency.</x:v>
      </x:c>
      <x:c r="U75" s="268" t="str">
        <x:v>Both subtract matching scenario debt from HPI-updated owner value, but B uses its NMDB/Redfin debt path and full-history Zillow series; C uses cutoff-eligible HPI and its PMMS payment-capitalization debt path.</x:v>
      </x:c>
      <x:c r="V75" s="268" t="str">
        <x:v>2,204 materially different; 58 equal; 696 one-null</x:v>
      </x:c>
      <x:c r="W75" s="272" t="n">
        <x:v>2204</x:v>
      </x:c>
      <x:c r="X75" s="257" t="n">
        <x:v>58</x:v>
      </x:c>
      <x:c r="Y75" s="257" t="n">
        <x:v>696</x:v>
      </x:c>
      <x:c r="Z75" s="257" t="n">
        <x:v>0</x:v>
      </x:c>
      <x:c r="AA75" s="254" t="str">
        <x:v>Debt plus equity is required to equal the matched modeled owner-value stock in each version.</x:v>
      </x:c>
    </x:row>
    <x:row r="76" ht="78" customHeight="1">
      <x:c r="A76" s="254" t="str">
        <x:v>acs_implied_owner_occupied_home_equity_all_pmms_30y_scenario</x:v>
      </x:c>
      <x:c r="B76" s="254" t="str">
        <x:v>All-owner home equity PMMS 30-year scenario</x:v>
      </x:c>
      <x:c r="C76" s="271" t="str">
        <x:v>PMMS equity scenarios</x:v>
      </x:c>
      <x:c r="D76" s="260" t="str">
        <x:v>Shared A/B/C</x:v>
      </x:c>
      <x:c r="E76" s="254" t="str">
        <x:v>acs_implied_owner_occupied_home_equity_all_pmms_30y_scenario_benchmark</x:v>
      </x:c>
      <x:c r="F76" s="254" t="str">
        <x:v>USD</x:v>
      </x:c>
      <x:c r="G76" s="254" t="str">
        <x:v>ACS 5-year plus monthly rate parameter -&gt; ACS 5-year</x:v>
      </x:c>
      <x:c r="H76" s="254" t="str">
        <x:v>matched-universe scenario identity</x:v>
      </x:c>
      <x:c r="I76" s="254" t="str">
        <x:v>Fully populated
58 rows
58 non-null
Reference 2022-07-01; source period 2020-01-01 to 2024-12-31</x:v>
      </x:c>
      <x:c r="J76" s="254" t="str">
        <x:v>acs_implied_owner_occupied_home_equity_all_pmms_30y_scenario_monthly_hist</x:v>
      </x:c>
      <x:c r="K76" s="254" t="str">
        <x:v>USD
scenario</x:v>
      </x:c>
      <x:c r="L76" s="254" t="str">
        <x:v>version_b_hpi_updated_pmms_equity_v1</x:v>
      </x:c>
      <x:c r="M76" s="254" t="str">
        <x:v>Update the owner-value stock by the ZHVI ratio and subtract matching scenario debt</x:v>
      </x:c>
      <x:c r="N76" s="254" t="str">
        <x:v>Partially populated
9,106 rows
6,521 non-null
2013-03-31 to 2026-03-31
Flags: 6,032 interpolated</x:v>
      </x:c>
      <x:c r="O76" s="254" t="str">
        <x:v>acs_implied_owner_occupied_home_equity_all_pmms_30y_scenario_monthly_rt</x:v>
      </x:c>
      <x:c r="P76" s="254" t="str">
        <x:v>USD
scenario</x:v>
      </x:c>
      <x:c r="Q76" s="254" t="str">
        <x:v>version_c_hpi_updated_pmms_equity_v1</x:v>
      </x:c>
      <x:c r="R76" s="254" t="str">
        <x:v>Update matched owner-value central low and high by a cutoff-safe HPI ratio then subtract debt central debt-high for low and debt-low for high</x:v>
      </x:c>
      <x:c r="S76" s="254" t="str">
        <x:v>Fully populated
3,248 rows
3,248 non-null
2022-01-31 to 2026-08-31
Flags: 1,160 nowcast; 3,190 carried</x:v>
      </x:c>
      <x:c r="T76" s="254" t="str">
        <x:v>A supplies owner-value and scenario-equity anchors at source frequency.</x:v>
      </x:c>
      <x:c r="U76" s="268" t="str">
        <x:v>Both subtract matching scenario debt from HPI-updated owner value, but B uses its NMDB/Redfin debt path and full-history Zillow series; C uses cutoff-eligible HPI and its PMMS payment-capitalization debt path.</x:v>
      </x:c>
      <x:c r="V76" s="268" t="str">
        <x:v>2,223 materially different; 39 equal; 696 one-null</x:v>
      </x:c>
      <x:c r="W76" s="272" t="n">
        <x:v>2223</x:v>
      </x:c>
      <x:c r="X76" s="257" t="n">
        <x:v>39</x:v>
      </x:c>
      <x:c r="Y76" s="257" t="n">
        <x:v>696</x:v>
      </x:c>
      <x:c r="Z76" s="257" t="n">
        <x:v>0</x:v>
      </x:c>
      <x:c r="AA76" s="254" t="str">
        <x:v>Debt plus equity is required to equal the matched modeled owner-value stock in each version.</x:v>
      </x:c>
    </x:row>
  </x:sheetData>
  <x:mergeCells>
    <x:mergeCell ref="A1:AA1"/>
    <x:mergeCell ref="A2:AA2"/>
    <x:mergeCell ref="A3:AA3"/>
    <x:mergeCell ref="A4:D4"/>
    <x:mergeCell ref="E4:I4"/>
    <x:mergeCell ref="J4:N4"/>
    <x:mergeCell ref="O4:S4"/>
    <x:mergeCell ref="T4:AA4"/>
  </x:mergeCells>
  <x:pageMargins left="0.7" right="0.7" top="0.75" bottom="0.75" header="0.3" footer="0.3"/>
  <x:tableParts count="1">
    <x:tablePart xmlns:r="http://schemas.openxmlformats.org/officeDocument/2006/relationships" r:id="R83fbee1545bb49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0" hidden="0" customWidth="1"/>
    <x:col min="3" max="3" width="32" hidden="0" customWidth="1"/>
    <x:col min="4" max="4" width="10" hidden="0" customWidth="1"/>
    <x:col min="5" max="5" width="48" hidden="0" customWidth="1"/>
    <x:col min="6" max="6" width="22" hidden="0" customWidth="1"/>
    <x:col min="7" max="7" width="27" hidden="0" customWidth="1"/>
    <x:col min="8" max="8" width="22" hidden="0" customWidth="1"/>
    <x:col min="9" max="9" width="13" hidden="0" customWidth="1"/>
    <x:col min="10" max="10" width="14" hidden="0" customWidth="1"/>
    <x:col min="11" max="11" width="13" hidden="0" customWidth="1"/>
    <x:col min="12" max="12" width="11" hidden="0" customWidth="1"/>
    <x:col min="13" max="13" width="18" hidden="0" customWidth="1"/>
    <x:col min="14" max="14" width="18" hidden="0" customWidth="1"/>
    <x:col min="15" max="15" width="17" hidden="0" customWidth="1"/>
    <x:col min="16" max="16" width="20" hidden="0" customWidth="1"/>
    <x:col min="17" max="17" width="18" hidden="0" customWidth="1"/>
    <x:col min="18" max="18" width="18" hidden="0" customWidth="1"/>
    <x:col min="19" max="19" width="60" hidden="0" customWidth="1"/>
  </x:cols>
  <x:sheetData>
    <x:row r="1" ht="34" customHeight="1">
      <x:c r="A1" s="4" t="str">
        <x:v>Materialized Output Statistics by Variable and Version</x:v>
      </x:c>
      <x:c r="B1" s="4" t="str">
        <x:v>Materialized Output Statistics by Variable and Version</x:v>
      </x:c>
      <x:c r="C1" s="4" t="str">
        <x:v>Materialized Output Statistics by Variable and Version</x:v>
      </x:c>
      <x:c r="D1" s="4" t="str">
        <x:v>Materialized Output Statistics by Variable and Version</x:v>
      </x:c>
      <x:c r="E1" s="4" t="str">
        <x:v>Materialized Output Statistics by Variable and Version</x:v>
      </x:c>
      <x:c r="F1" s="4" t="str">
        <x:v>Materialized Output Statistics by Variable and Version</x:v>
      </x:c>
      <x:c r="G1" s="4" t="str">
        <x:v>Materialized Output Statistics by Variable and Version</x:v>
      </x:c>
      <x:c r="H1" s="4" t="str">
        <x:v>Materialized Output Statistics by Variable and Version</x:v>
      </x:c>
      <x:c r="I1" s="4" t="str">
        <x:v>Materialized Output Statistics by Variable and Version</x:v>
      </x:c>
      <x:c r="J1" s="4" t="str">
        <x:v>Materialized Output Statistics by Variable and Version</x:v>
      </x:c>
      <x:c r="K1" s="4" t="str">
        <x:v>Materialized Output Statistics by Variable and Version</x:v>
      </x:c>
      <x:c r="L1" s="4" t="str">
        <x:v>Materialized Output Statistics by Variable and Version</x:v>
      </x:c>
      <x:c r="M1" s="4" t="str">
        <x:v>Materialized Output Statistics by Variable and Version</x:v>
      </x:c>
      <x:c r="N1" s="4" t="str">
        <x:v>Materialized Output Statistics by Variable and Version</x:v>
      </x:c>
      <x:c r="O1" s="4" t="str">
        <x:v>Materialized Output Statistics by Variable and Version</x:v>
      </x:c>
      <x:c r="P1" s="4" t="str">
        <x:v>Materialized Output Statistics by Variable and Version</x:v>
      </x:c>
      <x:c r="Q1" s="4" t="str">
        <x:v>Materialized Output Statistics by Variable and Version</x:v>
      </x:c>
      <x:c r="R1" s="4" t="str">
        <x:v>Materialized Output Statistics by Variable and Version</x:v>
      </x:c>
      <x:c r="S1" s="4" t="str">
        <x:v>Materialized Output Statistics by Variable and Version</x:v>
      </x:c>
    </x:row>
    <x:row r="2" ht="34" customHeight="1">
      <x:c r="A2" s="8" t="str">
        <x:v>183 versioned IDs. Counts come directly from the current Parquet outputs; row-flag counts are distinct from non-null-value counts.</x:v>
      </x:c>
      <x:c r="B2" s="8" t="str">
        <x:v>183 versioned IDs. Counts come directly from the current Parquet outputs; row-flag counts are distinct from non-null-value counts.</x:v>
      </x:c>
      <x:c r="C2" s="8" t="str">
        <x:v>183 versioned IDs. Counts come directly from the current Parquet outputs; row-flag counts are distinct from non-null-value counts.</x:v>
      </x:c>
      <x:c r="D2" s="8" t="str">
        <x:v>183 versioned IDs. Counts come directly from the current Parquet outputs; row-flag counts are distinct from non-null-value counts.</x:v>
      </x:c>
      <x:c r="E2" s="8" t="str">
        <x:v>183 versioned IDs. Counts come directly from the current Parquet outputs; row-flag counts are distinct from non-null-value counts.</x:v>
      </x:c>
      <x:c r="F2" s="8" t="str">
        <x:v>183 versioned IDs. Counts come directly from the current Parquet outputs; row-flag counts are distinct from non-null-value counts.</x:v>
      </x:c>
      <x:c r="G2" s="8" t="str">
        <x:v>183 versioned IDs. Counts come directly from the current Parquet outputs; row-flag counts are distinct from non-null-value counts.</x:v>
      </x:c>
      <x:c r="H2" s="8" t="str">
        <x:v>183 versioned IDs. Counts come directly from the current Parquet outputs; row-flag counts are distinct from non-null-value counts.</x:v>
      </x:c>
      <x:c r="I2" s="8" t="str">
        <x:v>183 versioned IDs. Counts come directly from the current Parquet outputs; row-flag counts are distinct from non-null-value counts.</x:v>
      </x:c>
      <x:c r="J2" s="8" t="str">
        <x:v>183 versioned IDs. Counts come directly from the current Parquet outputs; row-flag counts are distinct from non-null-value counts.</x:v>
      </x:c>
      <x:c r="K2" s="8" t="str">
        <x:v>183 versioned IDs. Counts come directly from the current Parquet outputs; row-flag counts are distinct from non-null-value counts.</x:v>
      </x:c>
      <x:c r="L2" s="8" t="str">
        <x:v>183 versioned IDs. Counts come directly from the current Parquet outputs; row-flag counts are distinct from non-null-value counts.</x:v>
      </x:c>
      <x:c r="M2" s="8" t="str">
        <x:v>183 versioned IDs. Counts come directly from the current Parquet outputs; row-flag counts are distinct from non-null-value counts.</x:v>
      </x:c>
      <x:c r="N2" s="8" t="str">
        <x:v>183 versioned IDs. Counts come directly from the current Parquet outputs; row-flag counts are distinct from non-null-value counts.</x:v>
      </x:c>
      <x:c r="O2" s="8" t="str">
        <x:v>183 versioned IDs. Counts come directly from the current Parquet outputs; row-flag counts are distinct from non-null-value counts.</x:v>
      </x:c>
      <x:c r="P2" s="8" t="str">
        <x:v>183 versioned IDs. Counts come directly from the current Parquet outputs; row-flag counts are distinct from non-null-value counts.</x:v>
      </x:c>
      <x:c r="Q2" s="8" t="str">
        <x:v>183 versioned IDs. Counts come directly from the current Parquet outputs; row-flag counts are distinct from non-null-value counts.</x:v>
      </x:c>
      <x:c r="R2" s="8" t="str">
        <x:v>183 versioned IDs. Counts come directly from the current Parquet outputs; row-flag counts are distinct from non-null-value counts.</x:v>
      </x:c>
      <x:c r="S2" s="8" t="str">
        <x:v>183 versioned IDs. Counts come directly from the current Parquet outputs; row-flag counts are distinct from non-null-value counts.</x:v>
      </x:c>
    </x:row>
    <x:row r="4" ht="44" customHeight="1">
      <x:c r="A4" s="121" t="str">
        <x:v>Base concept</x:v>
      </x:c>
      <x:c r="B4" s="121" t="str">
        <x:v>Display name</x:v>
      </x:c>
      <x:c r="C4" s="121" t="str">
        <x:v>Category</x:v>
      </x:c>
      <x:c r="D4" s="121" t="str">
        <x:v>Version</x:v>
      </x:c>
      <x:c r="E4" s="121" t="str">
        <x:v>Variable ID</x:v>
      </x:c>
      <x:c r="F4" s="121" t="str">
        <x:v>Unit</x:v>
      </x:c>
      <x:c r="G4" s="121" t="str">
        <x:v>Configured status</x:v>
      </x:c>
      <x:c r="H4" s="121" t="str">
        <x:v>Actual value status</x:v>
      </x:c>
      <x:c r="I4" s="121" t="str">
        <x:v>Rows</x:v>
      </x:c>
      <x:c r="J4" s="121" t="str">
        <x:v>Non-null rows</x:v>
      </x:c>
      <x:c r="K4" s="121" t="str">
        <x:v>Null rows</x:v>
      </x:c>
      <x:c r="L4" s="121" t="str">
        <x:v>Counties</x:v>
      </x:c>
      <x:c r="M4" s="121" t="str">
        <x:v>Coverage start / reference</x:v>
      </x:c>
      <x:c r="N4" s="121" t="str">
        <x:v>Coverage end / reference</x:v>
      </x:c>
      <x:c r="O4" s="121" t="str">
        <x:v>Rows flagged nowcast</x:v>
      </x:c>
      <x:c r="P4" s="121" t="str">
        <x:v>Rows flagged interpolated</x:v>
      </x:c>
      <x:c r="Q4" s="121" t="str">
        <x:v>Rows flagged carried</x:v>
      </x:c>
      <x:c r="R4" s="121" t="str">
        <x:v>Rows flagged suppressed</x:v>
      </x:c>
      <x:c r="S4" s="121" t="str">
        <x:v>Materialized source IDs</x:v>
      </x:c>
    </x:row>
    <x:row r="5" ht="28" customHeight="1">
      <x:c r="A5" s="273" t="str">
        <x:v>acs_total_population</x:v>
      </x:c>
      <x:c r="B5" s="273" t="str">
        <x:v>ACS total population</x:v>
      </x:c>
      <x:c r="C5" s="273" t="str">
        <x:v>A-only ACS supporting benchmark</x:v>
      </x:c>
      <x:c r="D5" s="277" t="str">
        <x:v>A</x:v>
      </x:c>
      <x:c r="E5" s="273" t="str">
        <x:v>acs_total_population_benchmark</x:v>
      </x:c>
      <x:c r="F5" s="273" t="str">
        <x:v>persons</x:v>
      </x:c>
      <x:c r="G5" s="273" t="str">
        <x:v>Fully populated</x:v>
      </x:c>
      <x:c r="H5" s="273" t="str">
        <x:v>Fully populated</x:v>
      </x:c>
      <x:c r="I5" s="274" t="n">
        <x:v>58</x:v>
      </x:c>
      <x:c r="J5" s="274" t="n">
        <x:v>58</x:v>
      </x:c>
      <x:c r="K5" s="274" t="n">
        <x:v>0</x:v>
      </x:c>
      <x:c r="L5" s="274" t="n">
        <x:v>58</x:v>
      </x:c>
      <x:c r="M5" s="275" t="n">
        <x:v>44743</x:v>
      </x:c>
      <x:c r="N5" s="275" t="n">
        <x:v>44743</x:v>
      </x:c>
      <x:c r="O5" s="274" t="n">
        <x:v>0</x:v>
      </x:c>
      <x:c r="P5" s="274" t="n">
        <x:v>0</x:v>
      </x:c>
      <x:c r="Q5" s="274" t="n">
        <x:v>0</x:v>
      </x:c>
      <x:c r="R5" s="274" t="n">
        <x:v>0</x:v>
      </x:c>
      <x:c r="S5" s="273" t="str">
        <x:v>census_acs5_finance</x:v>
      </x:c>
    </x:row>
    <x:row r="6" ht="28" customHeight="1">
      <x:c r="A6" s="273" t="str">
        <x:v>acs_aggregate_selected_monthly_owner_costs_mortgaged</x:v>
      </x:c>
      <x:c r="B6" s="273" t="str">
        <x:v>ACS aggregate selected monthly owner costs - mortgaged owners</x:v>
      </x:c>
      <x:c r="C6" s="273" t="str">
        <x:v>A-only ACS supporting benchmark</x:v>
      </x:c>
      <x:c r="D6" s="277" t="str">
        <x:v>A</x:v>
      </x:c>
      <x:c r="E6" s="273" t="str">
        <x:v>acs_aggregate_selected_monthly_owner_costs_mortgaged_benchmark</x:v>
      </x:c>
      <x:c r="F6" s="273" t="str">
        <x:v>dollars_per_month</x:v>
      </x:c>
      <x:c r="G6" s="273" t="str">
        <x:v>Fully populated</x:v>
      </x:c>
      <x:c r="H6" s="273" t="str">
        <x:v>Fully populated</x:v>
      </x:c>
      <x:c r="I6" s="274" t="n">
        <x:v>58</x:v>
      </x:c>
      <x:c r="J6" s="274" t="n">
        <x:v>58</x:v>
      </x:c>
      <x:c r="K6" s="274" t="n">
        <x:v>0</x:v>
      </x:c>
      <x:c r="L6" s="274" t="n">
        <x:v>58</x:v>
      </x:c>
      <x:c r="M6" s="275" t="n">
        <x:v>44743</x:v>
      </x:c>
      <x:c r="N6" s="275" t="n">
        <x:v>44743</x:v>
      </x:c>
      <x:c r="O6" s="274" t="n">
        <x:v>0</x:v>
      </x:c>
      <x:c r="P6" s="274" t="n">
        <x:v>0</x:v>
      </x:c>
      <x:c r="Q6" s="274" t="n">
        <x:v>0</x:v>
      </x:c>
      <x:c r="R6" s="274" t="n">
        <x:v>0</x:v>
      </x:c>
      <x:c r="S6" s="273" t="str">
        <x:v>census_acs5_finance</x:v>
      </x:c>
    </x:row>
    <x:row r="7" ht="28" customHeight="1">
      <x:c r="A7" s="273" t="str">
        <x:v>acs_owner_occupied_units</x:v>
      </x:c>
      <x:c r="B7" s="273" t="str">
        <x:v>ACS owner-occupied units</x:v>
      </x:c>
      <x:c r="C7" s="273" t="str">
        <x:v>A-only ACS supporting benchmark</x:v>
      </x:c>
      <x:c r="D7" s="277" t="str">
        <x:v>A</x:v>
      </x:c>
      <x:c r="E7" s="273" t="str">
        <x:v>acs_owner_occupied_units_benchmark</x:v>
      </x:c>
      <x:c r="F7" s="273" t="str">
        <x:v>housing_units</x:v>
      </x:c>
      <x:c r="G7" s="273" t="str">
        <x:v>Fully populated</x:v>
      </x:c>
      <x:c r="H7" s="273" t="str">
        <x:v>Fully populated</x:v>
      </x:c>
      <x:c r="I7" s="274" t="n">
        <x:v>58</x:v>
      </x:c>
      <x:c r="J7" s="274" t="n">
        <x:v>58</x:v>
      </x:c>
      <x:c r="K7" s="274" t="n">
        <x:v>0</x:v>
      </x:c>
      <x:c r="L7" s="274" t="n">
        <x:v>58</x:v>
      </x:c>
      <x:c r="M7" s="275" t="n">
        <x:v>44743</x:v>
      </x:c>
      <x:c r="N7" s="275" t="n">
        <x:v>44743</x:v>
      </x:c>
      <x:c r="O7" s="274" t="n">
        <x:v>0</x:v>
      </x:c>
      <x:c r="P7" s="274" t="n">
        <x:v>0</x:v>
      </x:c>
      <x:c r="Q7" s="274" t="n">
        <x:v>0</x:v>
      </x:c>
      <x:c r="R7" s="274" t="n">
        <x:v>0</x:v>
      </x:c>
      <x:c r="S7" s="273" t="str">
        <x:v>census_acs5_finance</x:v>
      </x:c>
    </x:row>
    <x:row r="8" ht="28" customHeight="1">
      <x:c r="A8" s="273" t="str">
        <x:v>acs_mortgaged_owner_units</x:v>
      </x:c>
      <x:c r="B8" s="273" t="str">
        <x:v>ACS mortgaged owner units</x:v>
      </x:c>
      <x:c r="C8" s="273" t="str">
        <x:v>A-only ACS supporting benchmark</x:v>
      </x:c>
      <x:c r="D8" s="277" t="str">
        <x:v>A</x:v>
      </x:c>
      <x:c r="E8" s="273" t="str">
        <x:v>acs_mortgaged_owner_units_benchmark</x:v>
      </x:c>
      <x:c r="F8" s="273" t="str">
        <x:v>housing_units</x:v>
      </x:c>
      <x:c r="G8" s="273" t="str">
        <x:v>Fully populated</x:v>
      </x:c>
      <x:c r="H8" s="273" t="str">
        <x:v>Fully populated</x:v>
      </x:c>
      <x:c r="I8" s="274" t="n">
        <x:v>58</x:v>
      </x:c>
      <x:c r="J8" s="274" t="n">
        <x:v>58</x:v>
      </x:c>
      <x:c r="K8" s="274" t="n">
        <x:v>0</x:v>
      </x:c>
      <x:c r="L8" s="274" t="n">
        <x:v>58</x:v>
      </x:c>
      <x:c r="M8" s="275" t="n">
        <x:v>44743</x:v>
      </x:c>
      <x:c r="N8" s="275" t="n">
        <x:v>44743</x:v>
      </x:c>
      <x:c r="O8" s="274" t="n">
        <x:v>0</x:v>
      </x:c>
      <x:c r="P8" s="274" t="n">
        <x:v>0</x:v>
      </x:c>
      <x:c r="Q8" s="274" t="n">
        <x:v>0</x:v>
      </x:c>
      <x:c r="R8" s="274" t="n">
        <x:v>0</x:v>
      </x:c>
      <x:c r="S8" s="273" t="str">
        <x:v>census_acs5_finance</x:v>
      </x:c>
    </x:row>
    <x:row r="9" ht="28" customHeight="1">
      <x:c r="A9" s="273" t="str">
        <x:v>acs_aggregate_owner_value_all</x:v>
      </x:c>
      <x:c r="B9" s="273" t="str">
        <x:v>ACS aggregate owner value - all owners</x:v>
      </x:c>
      <x:c r="C9" s="273" t="str">
        <x:v>A-only ACS supporting benchmark</x:v>
      </x:c>
      <x:c r="D9" s="277" t="str">
        <x:v>A</x:v>
      </x:c>
      <x:c r="E9" s="273" t="str">
        <x:v>acs_aggregate_owner_value_all_benchmark</x:v>
      </x:c>
      <x:c r="F9" s="273" t="str">
        <x:v>USD</x:v>
      </x:c>
      <x:c r="G9" s="273" t="str">
        <x:v>Fully populated</x:v>
      </x:c>
      <x:c r="H9" s="273" t="str">
        <x:v>Fully populated</x:v>
      </x:c>
      <x:c r="I9" s="274" t="n">
        <x:v>58</x:v>
      </x:c>
      <x:c r="J9" s="274" t="n">
        <x:v>58</x:v>
      </x:c>
      <x:c r="K9" s="274" t="n">
        <x:v>0</x:v>
      </x:c>
      <x:c r="L9" s="274" t="n">
        <x:v>58</x:v>
      </x:c>
      <x:c r="M9" s="275" t="n">
        <x:v>44743</x:v>
      </x:c>
      <x:c r="N9" s="275" t="n">
        <x:v>44743</x:v>
      </x:c>
      <x:c r="O9" s="274" t="n">
        <x:v>0</x:v>
      </x:c>
      <x:c r="P9" s="274" t="n">
        <x:v>0</x:v>
      </x:c>
      <x:c r="Q9" s="274" t="n">
        <x:v>0</x:v>
      </x:c>
      <x:c r="R9" s="274" t="n">
        <x:v>0</x:v>
      </x:c>
      <x:c r="S9" s="273" t="str">
        <x:v>census_acs5_finance</x:v>
      </x:c>
    </x:row>
    <x:row r="10" ht="28" customHeight="1">
      <x:c r="A10" s="273" t="str">
        <x:v>acs_aggregate_owner_value_mortgaged</x:v>
      </x:c>
      <x:c r="B10" s="273" t="str">
        <x:v>ACS aggregate owner value - mortgaged owners</x:v>
      </x:c>
      <x:c r="C10" s="273" t="str">
        <x:v>A-only ACS supporting benchmark</x:v>
      </x:c>
      <x:c r="D10" s="277" t="str">
        <x:v>A</x:v>
      </x:c>
      <x:c r="E10" s="273" t="str">
        <x:v>acs_aggregate_owner_value_mortgaged_benchmark</x:v>
      </x:c>
      <x:c r="F10" s="273" t="str">
        <x:v>USD</x:v>
      </x:c>
      <x:c r="G10" s="273" t="str">
        <x:v>Fully populated</x:v>
      </x:c>
      <x:c r="H10" s="273" t="str">
        <x:v>Fully populated</x:v>
      </x:c>
      <x:c r="I10" s="274" t="n">
        <x:v>58</x:v>
      </x:c>
      <x:c r="J10" s="274" t="n">
        <x:v>58</x:v>
      </x:c>
      <x:c r="K10" s="274" t="n">
        <x:v>0</x:v>
      </x:c>
      <x:c r="L10" s="274" t="n">
        <x:v>58</x:v>
      </x:c>
      <x:c r="M10" s="275" t="n">
        <x:v>44743</x:v>
      </x:c>
      <x:c r="N10" s="275" t="n">
        <x:v>44743</x:v>
      </x:c>
      <x:c r="O10" s="274" t="n">
        <x:v>0</x:v>
      </x:c>
      <x:c r="P10" s="274" t="n">
        <x:v>0</x:v>
      </x:c>
      <x:c r="Q10" s="274" t="n">
        <x:v>0</x:v>
      </x:c>
      <x:c r="R10" s="274" t="n">
        <x:v>0</x:v>
      </x:c>
      <x:c r="S10" s="273" t="str">
        <x:v>census_acs5_finance</x:v>
      </x:c>
    </x:row>
    <x:row r="11" ht="28" customHeight="1">
      <x:c r="A11" s="273" t="str">
        <x:v>acs_aggregate_owner_value_no_mortgage</x:v>
      </x:c>
      <x:c r="B11" s="273" t="str">
        <x:v>ACS aggregate owner value - mortgage-free owners</x:v>
      </x:c>
      <x:c r="C11" s="273" t="str">
        <x:v>A-only ACS supporting benchmark</x:v>
      </x:c>
      <x:c r="D11" s="277" t="str">
        <x:v>A</x:v>
      </x:c>
      <x:c r="E11" s="273" t="str">
        <x:v>acs_aggregate_owner_value_no_mortgage_benchmark</x:v>
      </x:c>
      <x:c r="F11" s="273" t="str">
        <x:v>USD</x:v>
      </x:c>
      <x:c r="G11" s="273" t="str">
        <x:v>Fully populated</x:v>
      </x:c>
      <x:c r="H11" s="273" t="str">
        <x:v>Fully populated</x:v>
      </x:c>
      <x:c r="I11" s="274" t="n">
        <x:v>58</x:v>
      </x:c>
      <x:c r="J11" s="274" t="n">
        <x:v>58</x:v>
      </x:c>
      <x:c r="K11" s="274" t="n">
        <x:v>0</x:v>
      </x:c>
      <x:c r="L11" s="274" t="n">
        <x:v>58</x:v>
      </x:c>
      <x:c r="M11" s="275" t="n">
        <x:v>44743</x:v>
      </x:c>
      <x:c r="N11" s="275" t="n">
        <x:v>44743</x:v>
      </x:c>
      <x:c r="O11" s="274" t="n">
        <x:v>0</x:v>
      </x:c>
      <x:c r="P11" s="274" t="n">
        <x:v>0</x:v>
      </x:c>
      <x:c r="Q11" s="274" t="n">
        <x:v>0</x:v>
      </x:c>
      <x:c r="R11" s="274" t="n">
        <x:v>0</x:v>
      </x:c>
      <x:c r="S11" s="273" t="str">
        <x:v>census_acs5_finance</x:v>
      </x:c>
    </x:row>
    <x:row r="12" ht="28" customHeight="1">
      <x:c r="A12" s="273" t="str">
        <x:v>acs_aggregate_household_income_owner</x:v>
      </x:c>
      <x:c r="B12" s="273" t="str">
        <x:v>ACS aggregate household income - all owners</x:v>
      </x:c>
      <x:c r="C12" s="273" t="str">
        <x:v>A-only ACS supporting benchmark</x:v>
      </x:c>
      <x:c r="D12" s="277" t="str">
        <x:v>A</x:v>
      </x:c>
      <x:c r="E12" s="273" t="str">
        <x:v>acs_aggregate_household_income_owner_benchmark</x:v>
      </x:c>
      <x:c r="F12" s="273" t="str">
        <x:v>inflation_adjusted_USD_per_year</x:v>
      </x:c>
      <x:c r="G12" s="273" t="str">
        <x:v>Fully populated</x:v>
      </x:c>
      <x:c r="H12" s="273" t="str">
        <x:v>Fully populated</x:v>
      </x:c>
      <x:c r="I12" s="274" t="n">
        <x:v>58</x:v>
      </x:c>
      <x:c r="J12" s="274" t="n">
        <x:v>58</x:v>
      </x:c>
      <x:c r="K12" s="274" t="n">
        <x:v>0</x:v>
      </x:c>
      <x:c r="L12" s="274" t="n">
        <x:v>58</x:v>
      </x:c>
      <x:c r="M12" s="275" t="n">
        <x:v>44743</x:v>
      </x:c>
      <x:c r="N12" s="275" t="n">
        <x:v>44743</x:v>
      </x:c>
      <x:c r="O12" s="274" t="n">
        <x:v>0</x:v>
      </x:c>
      <x:c r="P12" s="274" t="n">
        <x:v>0</x:v>
      </x:c>
      <x:c r="Q12" s="274" t="n">
        <x:v>0</x:v>
      </x:c>
      <x:c r="R12" s="274" t="n">
        <x:v>0</x:v>
      </x:c>
      <x:c r="S12" s="273" t="str">
        <x:v>census_acs5_finance</x:v>
      </x:c>
    </x:row>
    <x:row r="13" ht="28" customHeight="1">
      <x:c r="A13" s="273" t="str">
        <x:v>acs_aggregate_household_income_mortgaged_owner</x:v>
      </x:c>
      <x:c r="B13" s="273" t="str">
        <x:v>ACS aggregate household income - mortgaged owners</x:v>
      </x:c>
      <x:c r="C13" s="273" t="str">
        <x:v>A-only ACS supporting benchmark</x:v>
      </x:c>
      <x:c r="D13" s="277" t="str">
        <x:v>A</x:v>
      </x:c>
      <x:c r="E13" s="273" t="str">
        <x:v>acs_aggregate_household_income_mortgaged_owner_benchmark</x:v>
      </x:c>
      <x:c r="F13" s="273" t="str">
        <x:v>inflation_adjusted_USD_per_year</x:v>
      </x:c>
      <x:c r="G13" s="273" t="str">
        <x:v>Fully populated</x:v>
      </x:c>
      <x:c r="H13" s="273" t="str">
        <x:v>Fully populated</x:v>
      </x:c>
      <x:c r="I13" s="274" t="n">
        <x:v>58</x:v>
      </x:c>
      <x:c r="J13" s="274" t="n">
        <x:v>58</x:v>
      </x:c>
      <x:c r="K13" s="274" t="n">
        <x:v>0</x:v>
      </x:c>
      <x:c r="L13" s="274" t="n">
        <x:v>58</x:v>
      </x:c>
      <x:c r="M13" s="275" t="n">
        <x:v>44743</x:v>
      </x:c>
      <x:c r="N13" s="275" t="n">
        <x:v>44743</x:v>
      </x:c>
      <x:c r="O13" s="274" t="n">
        <x:v>0</x:v>
      </x:c>
      <x:c r="P13" s="274" t="n">
        <x:v>0</x:v>
      </x:c>
      <x:c r="Q13" s="274" t="n">
        <x:v>0</x:v>
      </x:c>
      <x:c r="R13" s="274" t="n">
        <x:v>0</x:v>
      </x:c>
      <x:c r="S13" s="273" t="str">
        <x:v>census_acs5_finance</x:v>
      </x:c>
    </x:row>
    <x:row r="14" ht="28" customHeight="1">
      <x:c r="A14" s="273" t="str">
        <x:v>acs_aggregate_household_income_no_mortgage_owner</x:v>
      </x:c>
      <x:c r="B14" s="273" t="str">
        <x:v>ACS aggregate household income - mortgage-free owners</x:v>
      </x:c>
      <x:c r="C14" s="273" t="str">
        <x:v>A-only ACS supporting benchmark</x:v>
      </x:c>
      <x:c r="D14" s="277" t="str">
        <x:v>A</x:v>
      </x:c>
      <x:c r="E14" s="273" t="str">
        <x:v>acs_aggregate_household_income_no_mortgage_owner_benchmark</x:v>
      </x:c>
      <x:c r="F14" s="273" t="str">
        <x:v>inflation_adjusted_USD_per_year</x:v>
      </x:c>
      <x:c r="G14" s="273" t="str">
        <x:v>Fully populated</x:v>
      </x:c>
      <x:c r="H14" s="273" t="str">
        <x:v>Fully populated</x:v>
      </x:c>
      <x:c r="I14" s="274" t="n">
        <x:v>58</x:v>
      </x:c>
      <x:c r="J14" s="274" t="n">
        <x:v>58</x:v>
      </x:c>
      <x:c r="K14" s="274" t="n">
        <x:v>0</x:v>
      </x:c>
      <x:c r="L14" s="274" t="n">
        <x:v>58</x:v>
      </x:c>
      <x:c r="M14" s="275" t="n">
        <x:v>44743</x:v>
      </x:c>
      <x:c r="N14" s="275" t="n">
        <x:v>44743</x:v>
      </x:c>
      <x:c r="O14" s="274" t="n">
        <x:v>0</x:v>
      </x:c>
      <x:c r="P14" s="274" t="n">
        <x:v>0</x:v>
      </x:c>
      <x:c r="Q14" s="274" t="n">
        <x:v>0</x:v>
      </x:c>
      <x:c r="R14" s="274" t="n">
        <x:v>0</x:v>
      </x:c>
      <x:c r="S14" s="273" t="str">
        <x:v>census_acs5_finance</x:v>
      </x:c>
    </x:row>
    <x:row r="15" ht="28" customHeight="1">
      <x:c r="A15" s="273" t="str">
        <x:v>pums_first_mortgage_pi_share</x:v>
      </x:c>
      <x:c r="B15" s="273" t="str">
        <x:v>PUMS first-mortgage P&amp;I share source</x:v>
      </x:c>
      <x:c r="C15" s="273" t="str">
        <x:v>A-only PUMS parameter/audit input</x:v>
      </x:c>
      <x:c r="D15" s="277" t="str">
        <x:v>A</x:v>
      </x:c>
      <x:c r="E15" s="273" t="str">
        <x:v>pums_first_mortgage_pi_share_benchmark</x:v>
      </x:c>
      <x:c r="F15" s="273" t="str">
        <x:v>share</x:v>
      </x:c>
      <x:c r="G15" s="273" t="str">
        <x:v>Fully populated</x:v>
      </x:c>
      <x:c r="H15" s="273" t="str">
        <x:v>Fully populated</x:v>
      </x:c>
      <x:c r="I15" s="274" t="n">
        <x:v>58</x:v>
      </x:c>
      <x:c r="J15" s="274" t="n">
        <x:v>58</x:v>
      </x:c>
      <x:c r="K15" s="274" t="n">
        <x:v>0</x:v>
      </x:c>
      <x:c r="L15" s="274" t="n">
        <x:v>58</x:v>
      </x:c>
      <x:c r="M15" s="275" t="n">
        <x:v>44743</x:v>
      </x:c>
      <x:c r="N15" s="275" t="n">
        <x:v>44743</x:v>
      </x:c>
      <x:c r="O15" s="274" t="n">
        <x:v>0</x:v>
      </x:c>
      <x:c r="P15" s="274" t="n">
        <x:v>0</x:v>
      </x:c>
      <x:c r="Q15" s="274" t="n">
        <x:v>0</x:v>
      </x:c>
      <x:c r="R15" s="274" t="n">
        <x:v>0</x:v>
      </x:c>
      <x:c r="S15" s="273" t="str">
        <x:v>census_acs5_pums_housing_ca|census_tract_to_puma_2020</x:v>
      </x:c>
    </x:row>
    <x:row r="16" ht="28" customHeight="1">
      <x:c r="A16" s="273" t="str">
        <x:v>pums_first_mortgage_pi_share_applied</x:v>
      </x:c>
      <x:c r="B16" s="273" t="str">
        <x:v>Applied PUMS first-mortgage P&amp;I share</x:v>
      </x:c>
      <x:c r="C16" s="273" t="str">
        <x:v>A-only PUMS parameter/audit input</x:v>
      </x:c>
      <x:c r="D16" s="277" t="str">
        <x:v>A</x:v>
      </x:c>
      <x:c r="E16" s="273" t="str">
        <x:v>pums_first_mortgage_pi_share_applied_benchmark</x:v>
      </x:c>
      <x:c r="F16" s="273" t="str">
        <x:v>ratio</x:v>
      </x:c>
      <x:c r="G16" s="273" t="str">
        <x:v>Fully populated</x:v>
      </x:c>
      <x:c r="H16" s="273" t="str">
        <x:v>Fully populated</x:v>
      </x:c>
      <x:c r="I16" s="274" t="n">
        <x:v>58</x:v>
      </x:c>
      <x:c r="J16" s="274" t="n">
        <x:v>58</x:v>
      </x:c>
      <x:c r="K16" s="274" t="n">
        <x:v>0</x:v>
      </x:c>
      <x:c r="L16" s="274" t="n">
        <x:v>58</x:v>
      </x:c>
      <x:c r="M16" s="275" t="n">
        <x:v>44743</x:v>
      </x:c>
      <x:c r="N16" s="275" t="n">
        <x:v>44743</x:v>
      </x:c>
      <x:c r="O16" s="274" t="n">
        <x:v>0</x:v>
      </x:c>
      <x:c r="P16" s="274" t="n">
        <x:v>0</x:v>
      </x:c>
      <x:c r="Q16" s="274" t="n">
        <x:v>0</x:v>
      </x:c>
      <x:c r="R16" s="274" t="n">
        <x:v>0</x:v>
      </x:c>
      <x:c r="S16" s="273" t="str">
        <x:v>census_acs5_finance|census_acs5_pums_housing_ca|census_tract_to_puma_2020</x:v>
      </x:c>
    </x:row>
    <x:row r="17" ht="28" customHeight="1">
      <x:c r="A17" s="273" t="str">
        <x:v>pums_junior_lien_payment_per_mortgaged_unit</x:v>
      </x:c>
      <x:c r="B17" s="273" t="str">
        <x:v>PUMS junior-lien monthly payment per mortgaged unit</x:v>
      </x:c>
      <x:c r="C17" s="273" t="str">
        <x:v>A-only PUMS parameter/audit input</x:v>
      </x:c>
      <x:c r="D17" s="277" t="str">
        <x:v>A</x:v>
      </x:c>
      <x:c r="E17" s="273" t="str">
        <x:v>pums_junior_lien_payment_per_mortgaged_unit_benchmark</x:v>
      </x:c>
      <x:c r="F17" s="273" t="str">
        <x:v>USD/unit/month</x:v>
      </x:c>
      <x:c r="G17" s="273" t="str">
        <x:v>Fully populated</x:v>
      </x:c>
      <x:c r="H17" s="273" t="str">
        <x:v>Fully populated</x:v>
      </x:c>
      <x:c r="I17" s="274" t="n">
        <x:v>58</x:v>
      </x:c>
      <x:c r="J17" s="274" t="n">
        <x:v>58</x:v>
      </x:c>
      <x:c r="K17" s="274" t="n">
        <x:v>0</x:v>
      </x:c>
      <x:c r="L17" s="274" t="n">
        <x:v>58</x:v>
      </x:c>
      <x:c r="M17" s="275" t="n">
        <x:v>44743</x:v>
      </x:c>
      <x:c r="N17" s="275" t="n">
        <x:v>44743</x:v>
      </x:c>
      <x:c r="O17" s="274" t="n">
        <x:v>0</x:v>
      </x:c>
      <x:c r="P17" s="274" t="n">
        <x:v>0</x:v>
      </x:c>
      <x:c r="Q17" s="274" t="n">
        <x:v>0</x:v>
      </x:c>
      <x:c r="R17" s="274" t="n">
        <x:v>0</x:v>
      </x:c>
      <x:c r="S17" s="273" t="str">
        <x:v>census_acs5_pums_housing_ca|census_tract_to_puma_2020</x:v>
      </x:c>
    </x:row>
    <x:row r="18" ht="28" customHeight="1">
      <x:c r="A18" s="273" t="str">
        <x:v>acs_estimated_aggregate_monthly_first_mortgage_pi</x:v>
      </x:c>
      <x:c r="B18" s="273" t="str">
        <x:v>Estimated aggregate monthly first-mortgage P&amp;I</x:v>
      </x:c>
      <x:c r="C18" s="273" t="str">
        <x:v>Payment and debt-service controls</x:v>
      </x:c>
      <x:c r="D18" s="277" t="str">
        <x:v>A</x:v>
      </x:c>
      <x:c r="E18" s="273" t="str">
        <x:v>acs_estimated_aggregate_monthly_first_mortgage_pi_benchmark</x:v>
      </x:c>
      <x:c r="F18" s="273" t="str">
        <x:v>USD/month</x:v>
      </x:c>
      <x:c r="G18" s="273" t="str">
        <x:v>Fully populated</x:v>
      </x:c>
      <x:c r="H18" s="273" t="str">
        <x:v>Fully populated</x:v>
      </x:c>
      <x:c r="I18" s="274" t="n">
        <x:v>58</x:v>
      </x:c>
      <x:c r="J18" s="274" t="n">
        <x:v>58</x:v>
      </x:c>
      <x:c r="K18" s="274" t="n">
        <x:v>0</x:v>
      </x:c>
      <x:c r="L18" s="274" t="n">
        <x:v>58</x:v>
      </x:c>
      <x:c r="M18" s="275" t="n">
        <x:v>44743</x:v>
      </x:c>
      <x:c r="N18" s="275" t="n">
        <x:v>44743</x:v>
      </x:c>
      <x:c r="O18" s="274" t="n">
        <x:v>0</x:v>
      </x:c>
      <x:c r="P18" s="274" t="n">
        <x:v>0</x:v>
      </x:c>
      <x:c r="Q18" s="274" t="n">
        <x:v>0</x:v>
      </x:c>
      <x:c r="R18" s="274" t="n">
        <x:v>0</x:v>
      </x:c>
      <x:c r="S18" s="273" t="str">
        <x:v>census_acs5_finance|census_acs5_pums_housing_ca|census_tract_to_puma_2020</x:v>
      </x:c>
    </x:row>
    <x:row r="19" ht="28" customHeight="1">
      <x:c r="A19" s="273" t="str">
        <x:v>acs_estimated_aggregate_monthly_first_mortgage_pi</x:v>
      </x:c>
      <x:c r="B19" s="273" t="str">
        <x:v>Estimated aggregate monthly first-mortgage P&amp;I</x:v>
      </x:c>
      <x:c r="C19" s="273" t="str">
        <x:v>Payment and debt-service controls</x:v>
      </x:c>
      <x:c r="D19" s="279" t="str">
        <x:v>B</x:v>
      </x:c>
      <x:c r="E19" s="273" t="str">
        <x:v>acs_estimated_aggregate_monthly_first_mortgage_pi_monthly_hist</x:v>
      </x:c>
      <x:c r="F19" s="273" t="str">
        <x:v>USD/month</x:v>
      </x:c>
      <x:c r="G19" s="273" t="str">
        <x:v>canonical_modeled_repeat</x:v>
      </x:c>
      <x:c r="H19" s="273" t="str">
        <x:v>Fully populated</x:v>
      </x:c>
      <x:c r="I19" s="274" t="n">
        <x:v>696</x:v>
      </x:c>
      <x:c r="J19" s="274" t="n">
        <x:v>696</x:v>
      </x:c>
      <x:c r="K19" s="274" t="n">
        <x:v>0</x:v>
      </x:c>
      <x:c r="L19" s="274" t="n">
        <x:v>58</x:v>
      </x:c>
      <x:c r="M19" s="275" t="n">
        <x:v>44592</x:v>
      </x:c>
      <x:c r="N19" s="275" t="n">
        <x:v>44926</x:v>
      </x:c>
      <x:c r="O19" s="274" t="n">
        <x:v>0</x:v>
      </x:c>
      <x:c r="P19" s="274" t="n">
        <x:v>0</x:v>
      </x:c>
      <x:c r="Q19" s="274" t="n">
        <x:v>0</x:v>
      </x:c>
      <x:c r="R19" s="274" t="n">
        <x:v>0</x:v>
      </x:c>
      <x:c r="S19" s="273" t="str">
        <x:v>census_acs5_finance|census_acs5_pums_housing_ca|census_tract_to_puma_2020</x:v>
      </x:c>
    </x:row>
    <x:row r="20" ht="28" customHeight="1">
      <x:c r="A20" s="273" t="str">
        <x:v>acs_estimated_aggregate_monthly_first_mortgage_pi</x:v>
      </x:c>
      <x:c r="B20" s="273" t="str">
        <x:v>Estimated aggregate monthly first-mortgage P&amp;I</x:v>
      </x:c>
      <x:c r="C20" s="273" t="str">
        <x:v>Payment and debt-service controls</x:v>
      </x:c>
      <x:c r="D20" s="281" t="str">
        <x:v>C</x:v>
      </x:c>
      <x:c r="E20" s="273" t="str">
        <x:v>acs_estimated_aggregate_monthly_first_mortgage_pi_monthly_rt</x:v>
      </x:c>
      <x:c r="F20" s="273" t="str">
        <x:v>USD/month</x:v>
      </x:c>
      <x:c r="G20" s="273" t="str">
        <x:v>canonical_modeled_carry</x:v>
      </x:c>
      <x:c r="H20" s="273" t="str">
        <x:v>Fully populated</x:v>
      </x:c>
      <x:c r="I20" s="274" t="n">
        <x:v>3248</x:v>
      </x:c>
      <x:c r="J20" s="274" t="n">
        <x:v>3248</x:v>
      </x:c>
      <x:c r="K20" s="274" t="n">
        <x:v>0</x:v>
      </x:c>
      <x:c r="L20" s="274" t="n">
        <x:v>58</x:v>
      </x:c>
      <x:c r="M20" s="275" t="n">
        <x:v>44592</x:v>
      </x:c>
      <x:c r="N20" s="275" t="n">
        <x:v>46265</x:v>
      </x:c>
      <x:c r="O20" s="274" t="n">
        <x:v>1160</x:v>
      </x:c>
      <x:c r="P20" s="274" t="n">
        <x:v>0</x:v>
      </x:c>
      <x:c r="Q20" s="274" t="n">
        <x:v>3190</x:v>
      </x:c>
      <x:c r="R20" s="274" t="n">
        <x:v>0</x:v>
      </x:c>
      <x:c r="S20" s="273" t="str">
        <x:v>census_acs5_finance|census_acs5_pums_housing_ca|census_tract_to_puma_2020</x:v>
      </x:c>
    </x:row>
    <x:row r="21" ht="28" customHeight="1">
      <x:c r="A21" s="273" t="str">
        <x:v>acs_first_mortgage_pi_per_mortgaged_unit</x:v>
      </x:c>
      <x:c r="B21" s="273" t="str">
        <x:v>First-mortgage P&amp;I per mortgaged unit</x:v>
      </x:c>
      <x:c r="C21" s="273" t="str">
        <x:v>Payment and debt-service controls</x:v>
      </x:c>
      <x:c r="D21" s="277" t="str">
        <x:v>A</x:v>
      </x:c>
      <x:c r="E21" s="273" t="str">
        <x:v>acs_first_mortgage_pi_per_mortgaged_unit_benchmark</x:v>
      </x:c>
      <x:c r="F21" s="273" t="str">
        <x:v>USD/unit/month</x:v>
      </x:c>
      <x:c r="G21" s="273" t="str">
        <x:v>Fully populated</x:v>
      </x:c>
      <x:c r="H21" s="273" t="str">
        <x:v>Fully populated</x:v>
      </x:c>
      <x:c r="I21" s="274" t="n">
        <x:v>58</x:v>
      </x:c>
      <x:c r="J21" s="274" t="n">
        <x:v>58</x:v>
      </x:c>
      <x:c r="K21" s="274" t="n">
        <x:v>0</x:v>
      </x:c>
      <x:c r="L21" s="274" t="n">
        <x:v>58</x:v>
      </x:c>
      <x:c r="M21" s="275" t="n">
        <x:v>44743</x:v>
      </x:c>
      <x:c r="N21" s="275" t="n">
        <x:v>44743</x:v>
      </x:c>
      <x:c r="O21" s="274" t="n">
        <x:v>0</x:v>
      </x:c>
      <x:c r="P21" s="274" t="n">
        <x:v>0</x:v>
      </x:c>
      <x:c r="Q21" s="274" t="n">
        <x:v>0</x:v>
      </x:c>
      <x:c r="R21" s="274" t="n">
        <x:v>0</x:v>
      </x:c>
      <x:c r="S21" s="273" t="str">
        <x:v>census_acs5_finance|census_acs5_pums_housing_ca|census_tract_to_puma_2020</x:v>
      </x:c>
    </x:row>
    <x:row r="22" ht="28" customHeight="1">
      <x:c r="A22" s="273" t="str">
        <x:v>acs_first_mortgage_pi_per_mortgaged_unit</x:v>
      </x:c>
      <x:c r="B22" s="273" t="str">
        <x:v>First-mortgage P&amp;I per mortgaged unit</x:v>
      </x:c>
      <x:c r="C22" s="273" t="str">
        <x:v>Payment and debt-service controls</x:v>
      </x:c>
      <x:c r="D22" s="279" t="str">
        <x:v>B</x:v>
      </x:c>
      <x:c r="E22" s="273" t="str">
        <x:v>acs_first_mortgage_pi_per_mortgaged_unit_monthly_hist</x:v>
      </x:c>
      <x:c r="F22" s="273" t="str">
        <x:v>USD/unit/month</x:v>
      </x:c>
      <x:c r="G22" s="273" t="str">
        <x:v>canonical_modeled_repeat</x:v>
      </x:c>
      <x:c r="H22" s="273" t="str">
        <x:v>Fully populated</x:v>
      </x:c>
      <x:c r="I22" s="274" t="n">
        <x:v>696</x:v>
      </x:c>
      <x:c r="J22" s="274" t="n">
        <x:v>696</x:v>
      </x:c>
      <x:c r="K22" s="274" t="n">
        <x:v>0</x:v>
      </x:c>
      <x:c r="L22" s="274" t="n">
        <x:v>58</x:v>
      </x:c>
      <x:c r="M22" s="275" t="n">
        <x:v>44592</x:v>
      </x:c>
      <x:c r="N22" s="275" t="n">
        <x:v>44926</x:v>
      </x:c>
      <x:c r="O22" s="274" t="n">
        <x:v>0</x:v>
      </x:c>
      <x:c r="P22" s="274" t="n">
        <x:v>0</x:v>
      </x:c>
      <x:c r="Q22" s="274" t="n">
        <x:v>0</x:v>
      </x:c>
      <x:c r="R22" s="274" t="n">
        <x:v>0</x:v>
      </x:c>
      <x:c r="S22" s="273" t="str">
        <x:v>census_acs5_finance|census_acs5_pums_housing_ca|census_tract_to_puma_2020</x:v>
      </x:c>
    </x:row>
    <x:row r="23" ht="28" customHeight="1">
      <x:c r="A23" s="273" t="str">
        <x:v>acs_first_mortgage_pi_per_mortgaged_unit</x:v>
      </x:c>
      <x:c r="B23" s="273" t="str">
        <x:v>First-mortgage P&amp;I per mortgaged unit</x:v>
      </x:c>
      <x:c r="C23" s="273" t="str">
        <x:v>Payment and debt-service controls</x:v>
      </x:c>
      <x:c r="D23" s="281" t="str">
        <x:v>C</x:v>
      </x:c>
      <x:c r="E23" s="273" t="str">
        <x:v>acs_first_mortgage_pi_per_mortgaged_unit_monthly_rt</x:v>
      </x:c>
      <x:c r="F23" s="273" t="str">
        <x:v>USD/unit/month</x:v>
      </x:c>
      <x:c r="G23" s="273" t="str">
        <x:v>canonical_modeled_carry</x:v>
      </x:c>
      <x:c r="H23" s="273" t="str">
        <x:v>Fully populated</x:v>
      </x:c>
      <x:c r="I23" s="274" t="n">
        <x:v>3248</x:v>
      </x:c>
      <x:c r="J23" s="274" t="n">
        <x:v>3248</x:v>
      </x:c>
      <x:c r="K23" s="274" t="n">
        <x:v>0</x:v>
      </x:c>
      <x:c r="L23" s="274" t="n">
        <x:v>58</x:v>
      </x:c>
      <x:c r="M23" s="275" t="n">
        <x:v>44592</x:v>
      </x:c>
      <x:c r="N23" s="275" t="n">
        <x:v>46265</x:v>
      </x:c>
      <x:c r="O23" s="274" t="n">
        <x:v>1160</x:v>
      </x:c>
      <x:c r="P23" s="274" t="n">
        <x:v>0</x:v>
      </x:c>
      <x:c r="Q23" s="274" t="n">
        <x:v>3190</x:v>
      </x:c>
      <x:c r="R23" s="274" t="n">
        <x:v>0</x:v>
      </x:c>
      <x:c r="S23" s="273" t="str">
        <x:v>census_acs5_finance|census_acs5_pums_housing_ca|census_tract_to_puma_2020</x:v>
      </x:c>
    </x:row>
    <x:row r="24" ht="28" customHeight="1">
      <x:c r="A24" s="273" t="str">
        <x:v>acs_annual_first_mortgage_debt_service</x:v>
      </x:c>
      <x:c r="B24" s="273" t="str">
        <x:v>Annual first-mortgage debt service</x:v>
      </x:c>
      <x:c r="C24" s="273" t="str">
        <x:v>Payment and debt-service controls</x:v>
      </x:c>
      <x:c r="D24" s="277" t="str">
        <x:v>A</x:v>
      </x:c>
      <x:c r="E24" s="273" t="str">
        <x:v>acs_annual_first_mortgage_debt_service_benchmark</x:v>
      </x:c>
      <x:c r="F24" s="273" t="str">
        <x:v>USD/year</x:v>
      </x:c>
      <x:c r="G24" s="273" t="str">
        <x:v>Fully populated</x:v>
      </x:c>
      <x:c r="H24" s="273" t="str">
        <x:v>Fully populated</x:v>
      </x:c>
      <x:c r="I24" s="274" t="n">
        <x:v>58</x:v>
      </x:c>
      <x:c r="J24" s="274" t="n">
        <x:v>58</x:v>
      </x:c>
      <x:c r="K24" s="274" t="n">
        <x:v>0</x:v>
      </x:c>
      <x:c r="L24" s="274" t="n">
        <x:v>58</x:v>
      </x:c>
      <x:c r="M24" s="275" t="n">
        <x:v>44743</x:v>
      </x:c>
      <x:c r="N24" s="275" t="n">
        <x:v>44743</x:v>
      </x:c>
      <x:c r="O24" s="274" t="n">
        <x:v>0</x:v>
      </x:c>
      <x:c r="P24" s="274" t="n">
        <x:v>0</x:v>
      </x:c>
      <x:c r="Q24" s="274" t="n">
        <x:v>0</x:v>
      </x:c>
      <x:c r="R24" s="274" t="n">
        <x:v>0</x:v>
      </x:c>
      <x:c r="S24" s="273" t="str">
        <x:v>census_acs5_finance|census_acs5_pums_housing_ca|census_tract_to_puma_2020</x:v>
      </x:c>
    </x:row>
    <x:row r="25" ht="28" customHeight="1">
      <x:c r="A25" s="273" t="str">
        <x:v>acs_annual_first_mortgage_debt_service</x:v>
      </x:c>
      <x:c r="B25" s="273" t="str">
        <x:v>Annual first-mortgage debt service</x:v>
      </x:c>
      <x:c r="C25" s="273" t="str">
        <x:v>Payment and debt-service controls</x:v>
      </x:c>
      <x:c r="D25" s="279" t="str">
        <x:v>B</x:v>
      </x:c>
      <x:c r="E25" s="273" t="str">
        <x:v>acs_annual_first_mortgage_debt_service_monthly_hist</x:v>
      </x:c>
      <x:c r="F25" s="273" t="str">
        <x:v>USD/year</x:v>
      </x:c>
      <x:c r="G25" s="273" t="str">
        <x:v>canonical_modeled_repeat</x:v>
      </x:c>
      <x:c r="H25" s="273" t="str">
        <x:v>Fully populated</x:v>
      </x:c>
      <x:c r="I25" s="274" t="n">
        <x:v>696</x:v>
      </x:c>
      <x:c r="J25" s="274" t="n">
        <x:v>696</x:v>
      </x:c>
      <x:c r="K25" s="274" t="n">
        <x:v>0</x:v>
      </x:c>
      <x:c r="L25" s="274" t="n">
        <x:v>58</x:v>
      </x:c>
      <x:c r="M25" s="275" t="n">
        <x:v>44592</x:v>
      </x:c>
      <x:c r="N25" s="275" t="n">
        <x:v>44926</x:v>
      </x:c>
      <x:c r="O25" s="274" t="n">
        <x:v>0</x:v>
      </x:c>
      <x:c r="P25" s="274" t="n">
        <x:v>0</x:v>
      </x:c>
      <x:c r="Q25" s="274" t="n">
        <x:v>0</x:v>
      </x:c>
      <x:c r="R25" s="274" t="n">
        <x:v>0</x:v>
      </x:c>
      <x:c r="S25" s="273" t="str">
        <x:v>census_acs5_finance|census_acs5_pums_housing_ca|census_tract_to_puma_2020</x:v>
      </x:c>
    </x:row>
    <x:row r="26" ht="28" customHeight="1">
      <x:c r="A26" s="273" t="str">
        <x:v>acs_annual_first_mortgage_debt_service</x:v>
      </x:c>
      <x:c r="B26" s="273" t="str">
        <x:v>Annual first-mortgage debt service</x:v>
      </x:c>
      <x:c r="C26" s="273" t="str">
        <x:v>Payment and debt-service controls</x:v>
      </x:c>
      <x:c r="D26" s="281" t="str">
        <x:v>C</x:v>
      </x:c>
      <x:c r="E26" s="273" t="str">
        <x:v>acs_annual_first_mortgage_debt_service_monthly_rt</x:v>
      </x:c>
      <x:c r="F26" s="273" t="str">
        <x:v>USD/year</x:v>
      </x:c>
      <x:c r="G26" s="273" t="str">
        <x:v>canonical_modeled_carry</x:v>
      </x:c>
      <x:c r="H26" s="273" t="str">
        <x:v>Fully populated</x:v>
      </x:c>
      <x:c r="I26" s="274" t="n">
        <x:v>3248</x:v>
      </x:c>
      <x:c r="J26" s="274" t="n">
        <x:v>3248</x:v>
      </x:c>
      <x:c r="K26" s="274" t="n">
        <x:v>0</x:v>
      </x:c>
      <x:c r="L26" s="274" t="n">
        <x:v>58</x:v>
      </x:c>
      <x:c r="M26" s="275" t="n">
        <x:v>44592</x:v>
      </x:c>
      <x:c r="N26" s="275" t="n">
        <x:v>46265</x:v>
      </x:c>
      <x:c r="O26" s="274" t="n">
        <x:v>1160</x:v>
      </x:c>
      <x:c r="P26" s="274" t="n">
        <x:v>0</x:v>
      </x:c>
      <x:c r="Q26" s="274" t="n">
        <x:v>3190</x:v>
      </x:c>
      <x:c r="R26" s="274" t="n">
        <x:v>0</x:v>
      </x:c>
      <x:c r="S26" s="273" t="str">
        <x:v>census_acs5_finance|census_acs5_pums_housing_ca|census_tract_to_puma_2020</x:v>
      </x:c>
    </x:row>
    <x:row r="27" ht="28" customHeight="1">
      <x:c r="A27" s="273" t="str">
        <x:v>acs_mortgage_debt_service_to_income</x:v>
      </x:c>
      <x:c r="B27" s="273" t="str">
        <x:v>Mortgage debt-service-to-income</x:v>
      </x:c>
      <x:c r="C27" s="273" t="str">
        <x:v>Payment and debt-service controls</x:v>
      </x:c>
      <x:c r="D27" s="277" t="str">
        <x:v>A</x:v>
      </x:c>
      <x:c r="E27" s="273" t="str">
        <x:v>acs_mortgage_debt_service_to_income_benchmark</x:v>
      </x:c>
      <x:c r="F27" s="273" t="str">
        <x:v>ratio</x:v>
      </x:c>
      <x:c r="G27" s="273" t="str">
        <x:v>Fully populated</x:v>
      </x:c>
      <x:c r="H27" s="273" t="str">
        <x:v>Fully populated</x:v>
      </x:c>
      <x:c r="I27" s="274" t="n">
        <x:v>58</x:v>
      </x:c>
      <x:c r="J27" s="274" t="n">
        <x:v>58</x:v>
      </x:c>
      <x:c r="K27" s="274" t="n">
        <x:v>0</x:v>
      </x:c>
      <x:c r="L27" s="274" t="n">
        <x:v>58</x:v>
      </x:c>
      <x:c r="M27" s="275" t="n">
        <x:v>44743</x:v>
      </x:c>
      <x:c r="N27" s="275" t="n">
        <x:v>44743</x:v>
      </x:c>
      <x:c r="O27" s="274" t="n">
        <x:v>0</x:v>
      </x:c>
      <x:c r="P27" s="274" t="n">
        <x:v>0</x:v>
      </x:c>
      <x:c r="Q27" s="274" t="n">
        <x:v>0</x:v>
      </x:c>
      <x:c r="R27" s="274" t="n">
        <x:v>0</x:v>
      </x:c>
      <x:c r="S27" s="273" t="str">
        <x:v>census_acs5_finance|census_acs5_pums_housing_ca|census_tract_to_puma_2020</x:v>
      </x:c>
    </x:row>
    <x:row r="28" ht="28" customHeight="1">
      <x:c r="A28" s="273" t="str">
        <x:v>acs_mortgage_debt_service_to_income</x:v>
      </x:c>
      <x:c r="B28" s="273" t="str">
        <x:v>Mortgage debt-service-to-income</x:v>
      </x:c>
      <x:c r="C28" s="273" t="str">
        <x:v>Payment and debt-service controls</x:v>
      </x:c>
      <x:c r="D28" s="279" t="str">
        <x:v>B</x:v>
      </x:c>
      <x:c r="E28" s="273" t="str">
        <x:v>acs_mortgage_debt_service_to_income_monthly_hist</x:v>
      </x:c>
      <x:c r="F28" s="273" t="str">
        <x:v>ratio</x:v>
      </x:c>
      <x:c r="G28" s="273" t="str">
        <x:v>canonical_modeled_repeat</x:v>
      </x:c>
      <x:c r="H28" s="273" t="str">
        <x:v>Fully populated</x:v>
      </x:c>
      <x:c r="I28" s="274" t="n">
        <x:v>696</x:v>
      </x:c>
      <x:c r="J28" s="274" t="n">
        <x:v>696</x:v>
      </x:c>
      <x:c r="K28" s="274" t="n">
        <x:v>0</x:v>
      </x:c>
      <x:c r="L28" s="274" t="n">
        <x:v>58</x:v>
      </x:c>
      <x:c r="M28" s="275" t="n">
        <x:v>44592</x:v>
      </x:c>
      <x:c r="N28" s="275" t="n">
        <x:v>44926</x:v>
      </x:c>
      <x:c r="O28" s="274" t="n">
        <x:v>0</x:v>
      </x:c>
      <x:c r="P28" s="274" t="n">
        <x:v>0</x:v>
      </x:c>
      <x:c r="Q28" s="274" t="n">
        <x:v>0</x:v>
      </x:c>
      <x:c r="R28" s="274" t="n">
        <x:v>0</x:v>
      </x:c>
      <x:c r="S28" s="273" t="str">
        <x:v>census_acs5_finance|census_acs5_pums_housing_ca|census_tract_to_puma_2020</x:v>
      </x:c>
    </x:row>
    <x:row r="29" ht="28" customHeight="1">
      <x:c r="A29" s="273" t="str">
        <x:v>acs_mortgage_debt_service_to_income</x:v>
      </x:c>
      <x:c r="B29" s="273" t="str">
        <x:v>Mortgage debt-service-to-income</x:v>
      </x:c>
      <x:c r="C29" s="273" t="str">
        <x:v>Payment and debt-service controls</x:v>
      </x:c>
      <x:c r="D29" s="281" t="str">
        <x:v>C</x:v>
      </x:c>
      <x:c r="E29" s="273" t="str">
        <x:v>acs_mortgage_debt_service_to_income_monthly_rt</x:v>
      </x:c>
      <x:c r="F29" s="273" t="str">
        <x:v>ratio</x:v>
      </x:c>
      <x:c r="G29" s="273" t="str">
        <x:v>canonical_modeled_carry</x:v>
      </x:c>
      <x:c r="H29" s="273" t="str">
        <x:v>Fully populated</x:v>
      </x:c>
      <x:c r="I29" s="274" t="n">
        <x:v>3248</x:v>
      </x:c>
      <x:c r="J29" s="274" t="n">
        <x:v>3248</x:v>
      </x:c>
      <x:c r="K29" s="274" t="n">
        <x:v>0</x:v>
      </x:c>
      <x:c r="L29" s="274" t="n">
        <x:v>58</x:v>
      </x:c>
      <x:c r="M29" s="275" t="n">
        <x:v>44592</x:v>
      </x:c>
      <x:c r="N29" s="275" t="n">
        <x:v>46265</x:v>
      </x:c>
      <x:c r="O29" s="274" t="n">
        <x:v>1160</x:v>
      </x:c>
      <x:c r="P29" s="274" t="n">
        <x:v>0</x:v>
      </x:c>
      <x:c r="Q29" s="274" t="n">
        <x:v>3190</x:v>
      </x:c>
      <x:c r="R29" s="274" t="n">
        <x:v>0</x:v>
      </x:c>
      <x:c r="S29" s="273" t="str">
        <x:v>census_acs5_finance|census_acs5_pums_housing_ca|census_tract_to_puma_2020</x:v>
      </x:c>
    </x:row>
    <x:row r="30" ht="28" customHeight="1">
      <x:c r="A30" s="273" t="str">
        <x:v>hmda_median_downpayment_rate</x:v>
      </x:c>
      <x:c r="B30" s="273" t="str">
        <x:v>HMDA median down-payment rate</x:v>
      </x:c>
      <x:c r="C30" s="273" t="str">
        <x:v>HMDA rates and threshold shares</x:v>
      </x:c>
      <x:c r="D30" s="277" t="str">
        <x:v>A</x:v>
      </x:c>
      <x:c r="E30" s="273" t="str">
        <x:v>hmda_median_downpayment_rate_benchmark</x:v>
      </x:c>
      <x:c r="F30" s="273" t="str">
        <x:v>ratio</x:v>
      </x:c>
      <x:c r="G30" s="273" t="str">
        <x:v>Partially populated</x:v>
      </x:c>
      <x:c r="H30" s="273" t="str">
        <x:v>Partially populated</x:v>
      </x:c>
      <x:c r="I30" s="274" t="n">
        <x:v>58</x:v>
      </x:c>
      <x:c r="J30" s="274" t="n">
        <x:v>55</x:v>
      </x:c>
      <x:c r="K30" s="274" t="n">
        <x:v>3</x:v>
      </x:c>
      <x:c r="L30" s="274" t="n">
        <x:v>58</x:v>
      </x:c>
      <x:c r="M30" s="275" t="n">
        <x:v>45839</x:v>
      </x:c>
      <x:c r="N30" s="275" t="n">
        <x:v>45839</x:v>
      </x:c>
      <x:c r="O30" s="274" t="n">
        <x:v>0</x:v>
      </x:c>
      <x:c r="P30" s="274" t="n">
        <x:v>0</x:v>
      </x:c>
      <x:c r="Q30" s="274" t="n">
        <x:v>0</x:v>
      </x:c>
      <x:c r="R30" s="274" t="n">
        <x:v>3</x:v>
      </x:c>
      <x:c r="S30" s="273" t="str">
        <x:v>cfpb_hmda_modified_lar</x:v>
      </x:c>
    </x:row>
    <x:row r="31" ht="28" customHeight="1">
      <x:c r="A31" s="273" t="str">
        <x:v>hmda_median_downpayment_rate</x:v>
      </x:c>
      <x:c r="B31" s="273" t="str">
        <x:v>HMDA median down-payment rate</x:v>
      </x:c>
      <x:c r="C31" s="273" t="str">
        <x:v>HMDA rates and threshold shares</x:v>
      </x:c>
      <x:c r="D31" s="279" t="str">
        <x:v>B</x:v>
      </x:c>
      <x:c r="E31" s="273" t="str">
        <x:v>hmda_median_downpayment_rate_monthly_hist</x:v>
      </x:c>
      <x:c r="F31" s="273" t="str">
        <x:v>rate</x:v>
      </x:c>
      <x:c r="G31" s="273" t="str">
        <x:v>canonical_modeled_repeat</x:v>
      </x:c>
      <x:c r="H31" s="273" t="str">
        <x:v>Partially populated</x:v>
      </x:c>
      <x:c r="I31" s="274" t="n">
        <x:v>696</x:v>
      </x:c>
      <x:c r="J31" s="274" t="n">
        <x:v>660</x:v>
      </x:c>
      <x:c r="K31" s="274" t="n">
        <x:v>36</x:v>
      </x:c>
      <x:c r="L31" s="274" t="n">
        <x:v>58</x:v>
      </x:c>
      <x:c r="M31" s="275" t="n">
        <x:v>45688</x:v>
      </x:c>
      <x:c r="N31" s="275" t="n">
        <x:v>46022</x:v>
      </x:c>
      <x:c r="O31" s="274" t="n">
        <x:v>0</x:v>
      </x:c>
      <x:c r="P31" s="274" t="n">
        <x:v>0</x:v>
      </x:c>
      <x:c r="Q31" s="274" t="n">
        <x:v>0</x:v>
      </x:c>
      <x:c r="R31" s="274" t="n">
        <x:v>36</x:v>
      </x:c>
      <x:c r="S31" s="273" t="str">
        <x:v>cfpb_hmda_modified_lar</x:v>
      </x:c>
    </x:row>
    <x:row r="32" ht="28" customHeight="1">
      <x:c r="A32" s="273" t="str">
        <x:v>hmda_median_downpayment_rate</x:v>
      </x:c>
      <x:c r="B32" s="273" t="str">
        <x:v>HMDA median down-payment rate</x:v>
      </x:c>
      <x:c r="C32" s="273" t="str">
        <x:v>HMDA rates and threshold shares</x:v>
      </x:c>
      <x:c r="D32" s="281" t="str">
        <x:v>C</x:v>
      </x:c>
      <x:c r="E32" s="273" t="str">
        <x:v>hmda_median_downpayment_rate_monthly_rt</x:v>
      </x:c>
      <x:c r="F32" s="273" t="str">
        <x:v>rate</x:v>
      </x:c>
      <x:c r="G32" s="273" t="str">
        <x:v>canonical_modeled_carry</x:v>
      </x:c>
      <x:c r="H32" s="273" t="str">
        <x:v>Partially populated</x:v>
      </x:c>
      <x:c r="I32" s="274" t="n">
        <x:v>3248</x:v>
      </x:c>
      <x:c r="J32" s="274" t="n">
        <x:v>1100</x:v>
      </x:c>
      <x:c r="K32" s="274" t="n">
        <x:v>2148</x:v>
      </x:c>
      <x:c r="L32" s="274" t="n">
        <x:v>58</x:v>
      </x:c>
      <x:c r="M32" s="275" t="n">
        <x:v>44592</x:v>
      </x:c>
      <x:c r="N32" s="275" t="n">
        <x:v>46265</x:v>
      </x:c>
      <x:c r="O32" s="274" t="n">
        <x:v>464</x:v>
      </x:c>
      <x:c r="P32" s="274" t="n">
        <x:v>0</x:v>
      </x:c>
      <x:c r="Q32" s="274" t="n">
        <x:v>3190</x:v>
      </x:c>
      <x:c r="R32" s="274" t="n">
        <x:v>168</x:v>
      </x:c>
      <x:c r="S32" s="273" t="str">
        <x:v>cfpb_hmda_modified_lar</x:v>
      </x:c>
    </x:row>
    <x:row r="33" ht="28" customHeight="1">
      <x:c r="A33" s="273" t="str">
        <x:v>hmda_property_value_weighted_downpayment_rate</x:v>
      </x:c>
      <x:c r="B33" s="273" t="str">
        <x:v>HMDA property-value-weighted down-payment rate</x:v>
      </x:c>
      <x:c r="C33" s="273" t="str">
        <x:v>HMDA rates and threshold shares</x:v>
      </x:c>
      <x:c r="D33" s="277" t="str">
        <x:v>A</x:v>
      </x:c>
      <x:c r="E33" s="273" t="str">
        <x:v>hmda_property_value_weighted_downpayment_rate_benchmark</x:v>
      </x:c>
      <x:c r="F33" s="273" t="str">
        <x:v>ratio</x:v>
      </x:c>
      <x:c r="G33" s="273" t="str">
        <x:v>Partially populated</x:v>
      </x:c>
      <x:c r="H33" s="273" t="str">
        <x:v>Partially populated</x:v>
      </x:c>
      <x:c r="I33" s="274" t="n">
        <x:v>58</x:v>
      </x:c>
      <x:c r="J33" s="274" t="n">
        <x:v>55</x:v>
      </x:c>
      <x:c r="K33" s="274" t="n">
        <x:v>3</x:v>
      </x:c>
      <x:c r="L33" s="274" t="n">
        <x:v>58</x:v>
      </x:c>
      <x:c r="M33" s="275" t="n">
        <x:v>45839</x:v>
      </x:c>
      <x:c r="N33" s="275" t="n">
        <x:v>45839</x:v>
      </x:c>
      <x:c r="O33" s="274" t="n">
        <x:v>0</x:v>
      </x:c>
      <x:c r="P33" s="274" t="n">
        <x:v>0</x:v>
      </x:c>
      <x:c r="Q33" s="274" t="n">
        <x:v>0</x:v>
      </x:c>
      <x:c r="R33" s="274" t="n">
        <x:v>3</x:v>
      </x:c>
      <x:c r="S33" s="273" t="str">
        <x:v>cfpb_hmda_modified_lar</x:v>
      </x:c>
    </x:row>
    <x:row r="34" ht="28" customHeight="1">
      <x:c r="A34" s="273" t="str">
        <x:v>hmda_property_value_weighted_downpayment_rate</x:v>
      </x:c>
      <x:c r="B34" s="273" t="str">
        <x:v>HMDA property-value-weighted down-payment rate</x:v>
      </x:c>
      <x:c r="C34" s="273" t="str">
        <x:v>HMDA rates and threshold shares</x:v>
      </x:c>
      <x:c r="D34" s="279" t="str">
        <x:v>B</x:v>
      </x:c>
      <x:c r="E34" s="273" t="str">
        <x:v>hmda_property_value_weighted_downpayment_rate_monthly_hist</x:v>
      </x:c>
      <x:c r="F34" s="273" t="str">
        <x:v>rate</x:v>
      </x:c>
      <x:c r="G34" s="273" t="str">
        <x:v>canonical_modeled_repeat</x:v>
      </x:c>
      <x:c r="H34" s="273" t="str">
        <x:v>Partially populated</x:v>
      </x:c>
      <x:c r="I34" s="274" t="n">
        <x:v>696</x:v>
      </x:c>
      <x:c r="J34" s="274" t="n">
        <x:v>660</x:v>
      </x:c>
      <x:c r="K34" s="274" t="n">
        <x:v>36</x:v>
      </x:c>
      <x:c r="L34" s="274" t="n">
        <x:v>58</x:v>
      </x:c>
      <x:c r="M34" s="275" t="n">
        <x:v>45688</x:v>
      </x:c>
      <x:c r="N34" s="275" t="n">
        <x:v>46022</x:v>
      </x:c>
      <x:c r="O34" s="274" t="n">
        <x:v>0</x:v>
      </x:c>
      <x:c r="P34" s="274" t="n">
        <x:v>0</x:v>
      </x:c>
      <x:c r="Q34" s="274" t="n">
        <x:v>0</x:v>
      </x:c>
      <x:c r="R34" s="274" t="n">
        <x:v>36</x:v>
      </x:c>
      <x:c r="S34" s="273" t="str">
        <x:v>cfpb_hmda_modified_lar</x:v>
      </x:c>
    </x:row>
    <x:row r="35" ht="28" customHeight="1">
      <x:c r="A35" s="273" t="str">
        <x:v>hmda_property_value_weighted_downpayment_rate</x:v>
      </x:c>
      <x:c r="B35" s="273" t="str">
        <x:v>HMDA property-value-weighted down-payment rate</x:v>
      </x:c>
      <x:c r="C35" s="273" t="str">
        <x:v>HMDA rates and threshold shares</x:v>
      </x:c>
      <x:c r="D35" s="281" t="str">
        <x:v>C</x:v>
      </x:c>
      <x:c r="E35" s="273" t="str">
        <x:v>hmda_property_value_weighted_downpayment_rate_monthly_rt</x:v>
      </x:c>
      <x:c r="F35" s="273" t="str">
        <x:v>rate</x:v>
      </x:c>
      <x:c r="G35" s="273" t="str">
        <x:v>canonical_modeled_carry</x:v>
      </x:c>
      <x:c r="H35" s="273" t="str">
        <x:v>Partially populated</x:v>
      </x:c>
      <x:c r="I35" s="274" t="n">
        <x:v>3248</x:v>
      </x:c>
      <x:c r="J35" s="274" t="n">
        <x:v>1100</x:v>
      </x:c>
      <x:c r="K35" s="274" t="n">
        <x:v>2148</x:v>
      </x:c>
      <x:c r="L35" s="274" t="n">
        <x:v>58</x:v>
      </x:c>
      <x:c r="M35" s="275" t="n">
        <x:v>44592</x:v>
      </x:c>
      <x:c r="N35" s="275" t="n">
        <x:v>46265</x:v>
      </x:c>
      <x:c r="O35" s="274" t="n">
        <x:v>464</x:v>
      </x:c>
      <x:c r="P35" s="274" t="n">
        <x:v>0</x:v>
      </x:c>
      <x:c r="Q35" s="274" t="n">
        <x:v>3190</x:v>
      </x:c>
      <x:c r="R35" s="274" t="n">
        <x:v>168</x:v>
      </x:c>
      <x:c r="S35" s="273" t="str">
        <x:v>cfpb_hmda_modified_lar</x:v>
      </x:c>
    </x:row>
    <x:row r="36" ht="28" customHeight="1">
      <x:c r="A36" s="273" t="str">
        <x:v>hmda_median_downpayment_rate_conventional</x:v>
      </x:c>
      <x:c r="B36" s="273" t="str">
        <x:v>HMDA median down-payment rate - conventional</x:v>
      </x:c>
      <x:c r="C36" s="273" t="str">
        <x:v>HMDA rates and threshold shares</x:v>
      </x:c>
      <x:c r="D36" s="277" t="str">
        <x:v>A</x:v>
      </x:c>
      <x:c r="E36" s="273" t="str">
        <x:v>hmda_median_downpayment_rate_conventional_benchmark</x:v>
      </x:c>
      <x:c r="F36" s="273" t="str">
        <x:v>ratio</x:v>
      </x:c>
      <x:c r="G36" s="273" t="str">
        <x:v>Partially populated</x:v>
      </x:c>
      <x:c r="H36" s="273" t="str">
        <x:v>Partially populated</x:v>
      </x:c>
      <x:c r="I36" s="274" t="n">
        <x:v>58</x:v>
      </x:c>
      <x:c r="J36" s="274" t="n">
        <x:v>46</x:v>
      </x:c>
      <x:c r="K36" s="274" t="n">
        <x:v>12</x:v>
      </x:c>
      <x:c r="L36" s="274" t="n">
        <x:v>58</x:v>
      </x:c>
      <x:c r="M36" s="275" t="n">
        <x:v>45839</x:v>
      </x:c>
      <x:c r="N36" s="275" t="n">
        <x:v>45839</x:v>
      </x:c>
      <x:c r="O36" s="274" t="n">
        <x:v>0</x:v>
      </x:c>
      <x:c r="P36" s="274" t="n">
        <x:v>0</x:v>
      </x:c>
      <x:c r="Q36" s="274" t="n">
        <x:v>0</x:v>
      </x:c>
      <x:c r="R36" s="274" t="n">
        <x:v>12</x:v>
      </x:c>
      <x:c r="S36" s="273" t="str">
        <x:v>cfpb_hmda_modified_lar</x:v>
      </x:c>
    </x:row>
    <x:row r="37" ht="28" customHeight="1">
      <x:c r="A37" s="273" t="str">
        <x:v>hmda_median_downpayment_rate_conventional</x:v>
      </x:c>
      <x:c r="B37" s="273" t="str">
        <x:v>HMDA median down-payment rate - conventional</x:v>
      </x:c>
      <x:c r="C37" s="273" t="str">
        <x:v>HMDA rates and threshold shares</x:v>
      </x:c>
      <x:c r="D37" s="279" t="str">
        <x:v>B</x:v>
      </x:c>
      <x:c r="E37" s="273" t="str">
        <x:v>hmda_median_downpayment_rate_conventional_monthly_hist</x:v>
      </x:c>
      <x:c r="F37" s="273" t="str">
        <x:v>rate</x:v>
      </x:c>
      <x:c r="G37" s="273" t="str">
        <x:v>canonical_modeled_repeat</x:v>
      </x:c>
      <x:c r="H37" s="273" t="str">
        <x:v>Partially populated</x:v>
      </x:c>
      <x:c r="I37" s="274" t="n">
        <x:v>696</x:v>
      </x:c>
      <x:c r="J37" s="274" t="n">
        <x:v>552</x:v>
      </x:c>
      <x:c r="K37" s="274" t="n">
        <x:v>144</x:v>
      </x:c>
      <x:c r="L37" s="274" t="n">
        <x:v>58</x:v>
      </x:c>
      <x:c r="M37" s="275" t="n">
        <x:v>45688</x:v>
      </x:c>
      <x:c r="N37" s="275" t="n">
        <x:v>46022</x:v>
      </x:c>
      <x:c r="O37" s="274" t="n">
        <x:v>0</x:v>
      </x:c>
      <x:c r="P37" s="274" t="n">
        <x:v>0</x:v>
      </x:c>
      <x:c r="Q37" s="274" t="n">
        <x:v>0</x:v>
      </x:c>
      <x:c r="R37" s="274" t="n">
        <x:v>144</x:v>
      </x:c>
      <x:c r="S37" s="273" t="str">
        <x:v>cfpb_hmda_modified_lar</x:v>
      </x:c>
    </x:row>
    <x:row r="38" ht="28" customHeight="1">
      <x:c r="A38" s="273" t="str">
        <x:v>hmda_median_downpayment_rate_conventional</x:v>
      </x:c>
      <x:c r="B38" s="273" t="str">
        <x:v>HMDA median down-payment rate - conventional</x:v>
      </x:c>
      <x:c r="C38" s="273" t="str">
        <x:v>HMDA rates and threshold shares</x:v>
      </x:c>
      <x:c r="D38" s="281" t="str">
        <x:v>C</x:v>
      </x:c>
      <x:c r="E38" s="273" t="str">
        <x:v>hmda_median_downpayment_rate_conventional_monthly_rt</x:v>
      </x:c>
      <x:c r="F38" s="273" t="str">
        <x:v>rate</x:v>
      </x:c>
      <x:c r="G38" s="273" t="str">
        <x:v>canonical_modeled_carry</x:v>
      </x:c>
      <x:c r="H38" s="273" t="str">
        <x:v>Partially populated</x:v>
      </x:c>
      <x:c r="I38" s="274" t="n">
        <x:v>3248</x:v>
      </x:c>
      <x:c r="J38" s="274" t="n">
        <x:v>920</x:v>
      </x:c>
      <x:c r="K38" s="274" t="n">
        <x:v>2328</x:v>
      </x:c>
      <x:c r="L38" s="274" t="n">
        <x:v>58</x:v>
      </x:c>
      <x:c r="M38" s="275" t="n">
        <x:v>44592</x:v>
      </x:c>
      <x:c r="N38" s="275" t="n">
        <x:v>46265</x:v>
      </x:c>
      <x:c r="O38" s="274" t="n">
        <x:v>464</x:v>
      </x:c>
      <x:c r="P38" s="274" t="n">
        <x:v>0</x:v>
      </x:c>
      <x:c r="Q38" s="274" t="n">
        <x:v>3190</x:v>
      </x:c>
      <x:c r="R38" s="274" t="n">
        <x:v>672</x:v>
      </x:c>
      <x:c r="S38" s="273" t="str">
        <x:v>cfpb_hmda_modified_lar</x:v>
      </x:c>
    </x:row>
    <x:row r="39" ht="28" customHeight="1">
      <x:c r="A39" s="273" t="str">
        <x:v>hmda_property_value_weighted_downpayment_rate_conventional</x:v>
      </x:c>
      <x:c r="B39" s="273" t="str">
        <x:v>HMDA property-value-weighted down-payment rate - conventional</x:v>
      </x:c>
      <x:c r="C39" s="273" t="str">
        <x:v>HMDA rates and threshold shares</x:v>
      </x:c>
      <x:c r="D39" s="277" t="str">
        <x:v>A</x:v>
      </x:c>
      <x:c r="E39" s="273" t="str">
        <x:v>hmda_property_value_weighted_downpayment_rate_conventional_benchmark</x:v>
      </x:c>
      <x:c r="F39" s="273" t="str">
        <x:v>ratio</x:v>
      </x:c>
      <x:c r="G39" s="273" t="str">
        <x:v>Partially populated</x:v>
      </x:c>
      <x:c r="H39" s="273" t="str">
        <x:v>Partially populated</x:v>
      </x:c>
      <x:c r="I39" s="274" t="n">
        <x:v>58</x:v>
      </x:c>
      <x:c r="J39" s="274" t="n">
        <x:v>46</x:v>
      </x:c>
      <x:c r="K39" s="274" t="n">
        <x:v>12</x:v>
      </x:c>
      <x:c r="L39" s="274" t="n">
        <x:v>58</x:v>
      </x:c>
      <x:c r="M39" s="275" t="n">
        <x:v>45839</x:v>
      </x:c>
      <x:c r="N39" s="275" t="n">
        <x:v>45839</x:v>
      </x:c>
      <x:c r="O39" s="274" t="n">
        <x:v>0</x:v>
      </x:c>
      <x:c r="P39" s="274" t="n">
        <x:v>0</x:v>
      </x:c>
      <x:c r="Q39" s="274" t="n">
        <x:v>0</x:v>
      </x:c>
      <x:c r="R39" s="274" t="n">
        <x:v>12</x:v>
      </x:c>
      <x:c r="S39" s="273" t="str">
        <x:v>cfpb_hmda_modified_lar</x:v>
      </x:c>
    </x:row>
    <x:row r="40" ht="28" customHeight="1">
      <x:c r="A40" s="273" t="str">
        <x:v>hmda_property_value_weighted_downpayment_rate_conventional</x:v>
      </x:c>
      <x:c r="B40" s="273" t="str">
        <x:v>HMDA property-value-weighted down-payment rate - conventional</x:v>
      </x:c>
      <x:c r="C40" s="273" t="str">
        <x:v>HMDA rates and threshold shares</x:v>
      </x:c>
      <x:c r="D40" s="279" t="str">
        <x:v>B</x:v>
      </x:c>
      <x:c r="E40" s="273" t="str">
        <x:v>hmda_property_value_weighted_downpayment_rate_conventional_monthly_hist</x:v>
      </x:c>
      <x:c r="F40" s="273" t="str">
        <x:v>rate</x:v>
      </x:c>
      <x:c r="G40" s="273" t="str">
        <x:v>canonical_modeled_repeat</x:v>
      </x:c>
      <x:c r="H40" s="273" t="str">
        <x:v>Partially populated</x:v>
      </x:c>
      <x:c r="I40" s="274" t="n">
        <x:v>696</x:v>
      </x:c>
      <x:c r="J40" s="274" t="n">
        <x:v>552</x:v>
      </x:c>
      <x:c r="K40" s="274" t="n">
        <x:v>144</x:v>
      </x:c>
      <x:c r="L40" s="274" t="n">
        <x:v>58</x:v>
      </x:c>
      <x:c r="M40" s="275" t="n">
        <x:v>45688</x:v>
      </x:c>
      <x:c r="N40" s="275" t="n">
        <x:v>46022</x:v>
      </x:c>
      <x:c r="O40" s="274" t="n">
        <x:v>0</x:v>
      </x:c>
      <x:c r="P40" s="274" t="n">
        <x:v>0</x:v>
      </x:c>
      <x:c r="Q40" s="274" t="n">
        <x:v>0</x:v>
      </x:c>
      <x:c r="R40" s="274" t="n">
        <x:v>144</x:v>
      </x:c>
      <x:c r="S40" s="273" t="str">
        <x:v>cfpb_hmda_modified_lar</x:v>
      </x:c>
    </x:row>
    <x:row r="41" ht="28" customHeight="1">
      <x:c r="A41" s="273" t="str">
        <x:v>hmda_property_value_weighted_downpayment_rate_conventional</x:v>
      </x:c>
      <x:c r="B41" s="273" t="str">
        <x:v>HMDA property-value-weighted down-payment rate - conventional</x:v>
      </x:c>
      <x:c r="C41" s="273" t="str">
        <x:v>HMDA rates and threshold shares</x:v>
      </x:c>
      <x:c r="D41" s="281" t="str">
        <x:v>C</x:v>
      </x:c>
      <x:c r="E41" s="273" t="str">
        <x:v>hmda_property_value_weighted_downpayment_rate_conventional_monthly_rt</x:v>
      </x:c>
      <x:c r="F41" s="273" t="str">
        <x:v>rate</x:v>
      </x:c>
      <x:c r="G41" s="273" t="str">
        <x:v>canonical_modeled_carry</x:v>
      </x:c>
      <x:c r="H41" s="273" t="str">
        <x:v>Partially populated</x:v>
      </x:c>
      <x:c r="I41" s="274" t="n">
        <x:v>3248</x:v>
      </x:c>
      <x:c r="J41" s="274" t="n">
        <x:v>920</x:v>
      </x:c>
      <x:c r="K41" s="274" t="n">
        <x:v>2328</x:v>
      </x:c>
      <x:c r="L41" s="274" t="n">
        <x:v>58</x:v>
      </x:c>
      <x:c r="M41" s="275" t="n">
        <x:v>44592</x:v>
      </x:c>
      <x:c r="N41" s="275" t="n">
        <x:v>46265</x:v>
      </x:c>
      <x:c r="O41" s="274" t="n">
        <x:v>464</x:v>
      </x:c>
      <x:c r="P41" s="274" t="n">
        <x:v>0</x:v>
      </x:c>
      <x:c r="Q41" s="274" t="n">
        <x:v>3190</x:v>
      </x:c>
      <x:c r="R41" s="274" t="n">
        <x:v>672</x:v>
      </x:c>
      <x:c r="S41" s="273" t="str">
        <x:v>cfpb_hmda_modified_lar</x:v>
      </x:c>
    </x:row>
    <x:row r="42" ht="28" customHeight="1">
      <x:c r="A42" s="273" t="str">
        <x:v>hmda_median_downpayment_rate_fha</x:v>
      </x:c>
      <x:c r="B42" s="273" t="str">
        <x:v>HMDA median down-payment rate - FHA</x:v>
      </x:c>
      <x:c r="C42" s="273" t="str">
        <x:v>HMDA rates and threshold shares</x:v>
      </x:c>
      <x:c r="D42" s="277" t="str">
        <x:v>A</x:v>
      </x:c>
      <x:c r="E42" s="273" t="str">
        <x:v>hmda_median_downpayment_rate_fha_benchmark</x:v>
      </x:c>
      <x:c r="F42" s="273" t="str">
        <x:v>ratio</x:v>
      </x:c>
      <x:c r="G42" s="273" t="str">
        <x:v>Partially populated</x:v>
      </x:c>
      <x:c r="H42" s="273" t="str">
        <x:v>Partially populated</x:v>
      </x:c>
      <x:c r="I42" s="274" t="n">
        <x:v>58</x:v>
      </x:c>
      <x:c r="J42" s="274" t="n">
        <x:v>39</x:v>
      </x:c>
      <x:c r="K42" s="274" t="n">
        <x:v>19</x:v>
      </x:c>
      <x:c r="L42" s="274" t="n">
        <x:v>58</x:v>
      </x:c>
      <x:c r="M42" s="275" t="n">
        <x:v>45839</x:v>
      </x:c>
      <x:c r="N42" s="275" t="n">
        <x:v>45839</x:v>
      </x:c>
      <x:c r="O42" s="274" t="n">
        <x:v>0</x:v>
      </x:c>
      <x:c r="P42" s="274" t="n">
        <x:v>0</x:v>
      </x:c>
      <x:c r="Q42" s="274" t="n">
        <x:v>0</x:v>
      </x:c>
      <x:c r="R42" s="274" t="n">
        <x:v>19</x:v>
      </x:c>
      <x:c r="S42" s="273" t="str">
        <x:v>cfpb_hmda_modified_lar</x:v>
      </x:c>
    </x:row>
    <x:row r="43" ht="28" customHeight="1">
      <x:c r="A43" s="273" t="str">
        <x:v>hmda_median_downpayment_rate_fha</x:v>
      </x:c>
      <x:c r="B43" s="273" t="str">
        <x:v>HMDA median down-payment rate - FHA</x:v>
      </x:c>
      <x:c r="C43" s="273" t="str">
        <x:v>HMDA rates and threshold shares</x:v>
      </x:c>
      <x:c r="D43" s="279" t="str">
        <x:v>B</x:v>
      </x:c>
      <x:c r="E43" s="273" t="str">
        <x:v>hmda_median_downpayment_rate_fha_monthly_hist</x:v>
      </x:c>
      <x:c r="F43" s="273" t="str">
        <x:v>rate</x:v>
      </x:c>
      <x:c r="G43" s="273" t="str">
        <x:v>canonical_modeled_repeat</x:v>
      </x:c>
      <x:c r="H43" s="273" t="str">
        <x:v>Partially populated</x:v>
      </x:c>
      <x:c r="I43" s="274" t="n">
        <x:v>696</x:v>
      </x:c>
      <x:c r="J43" s="274" t="n">
        <x:v>468</x:v>
      </x:c>
      <x:c r="K43" s="274" t="n">
        <x:v>228</x:v>
      </x:c>
      <x:c r="L43" s="274" t="n">
        <x:v>58</x:v>
      </x:c>
      <x:c r="M43" s="275" t="n">
        <x:v>45688</x:v>
      </x:c>
      <x:c r="N43" s="275" t="n">
        <x:v>46022</x:v>
      </x:c>
      <x:c r="O43" s="274" t="n">
        <x:v>0</x:v>
      </x:c>
      <x:c r="P43" s="274" t="n">
        <x:v>0</x:v>
      </x:c>
      <x:c r="Q43" s="274" t="n">
        <x:v>0</x:v>
      </x:c>
      <x:c r="R43" s="274" t="n">
        <x:v>228</x:v>
      </x:c>
      <x:c r="S43" s="273" t="str">
        <x:v>cfpb_hmda_modified_lar</x:v>
      </x:c>
    </x:row>
    <x:row r="44" ht="28" customHeight="1">
      <x:c r="A44" s="273" t="str">
        <x:v>hmda_median_downpayment_rate_fha</x:v>
      </x:c>
      <x:c r="B44" s="273" t="str">
        <x:v>HMDA median down-payment rate - FHA</x:v>
      </x:c>
      <x:c r="C44" s="273" t="str">
        <x:v>HMDA rates and threshold shares</x:v>
      </x:c>
      <x:c r="D44" s="281" t="str">
        <x:v>C</x:v>
      </x:c>
      <x:c r="E44" s="273" t="str">
        <x:v>hmda_median_downpayment_rate_fha_monthly_rt</x:v>
      </x:c>
      <x:c r="F44" s="273" t="str">
        <x:v>rate</x:v>
      </x:c>
      <x:c r="G44" s="273" t="str">
        <x:v>canonical_modeled_carry</x:v>
      </x:c>
      <x:c r="H44" s="273" t="str">
        <x:v>Partially populated</x:v>
      </x:c>
      <x:c r="I44" s="274" t="n">
        <x:v>3248</x:v>
      </x:c>
      <x:c r="J44" s="274" t="n">
        <x:v>780</x:v>
      </x:c>
      <x:c r="K44" s="274" t="n">
        <x:v>2468</x:v>
      </x:c>
      <x:c r="L44" s="274" t="n">
        <x:v>58</x:v>
      </x:c>
      <x:c r="M44" s="275" t="n">
        <x:v>44592</x:v>
      </x:c>
      <x:c r="N44" s="275" t="n">
        <x:v>46265</x:v>
      </x:c>
      <x:c r="O44" s="274" t="n">
        <x:v>464</x:v>
      </x:c>
      <x:c r="P44" s="274" t="n">
        <x:v>0</x:v>
      </x:c>
      <x:c r="Q44" s="274" t="n">
        <x:v>3190</x:v>
      </x:c>
      <x:c r="R44" s="274" t="n">
        <x:v>1064</x:v>
      </x:c>
      <x:c r="S44" s="273" t="str">
        <x:v>cfpb_hmda_modified_lar</x:v>
      </x:c>
    </x:row>
    <x:row r="45" ht="28" customHeight="1">
      <x:c r="A45" s="273" t="str">
        <x:v>hmda_property_value_weighted_downpayment_rate_fha</x:v>
      </x:c>
      <x:c r="B45" s="273" t="str">
        <x:v>HMDA property-value-weighted down-payment rate - FHA</x:v>
      </x:c>
      <x:c r="C45" s="273" t="str">
        <x:v>HMDA rates and threshold shares</x:v>
      </x:c>
      <x:c r="D45" s="277" t="str">
        <x:v>A</x:v>
      </x:c>
      <x:c r="E45" s="273" t="str">
        <x:v>hmda_property_value_weighted_downpayment_rate_fha_benchmark</x:v>
      </x:c>
      <x:c r="F45" s="273" t="str">
        <x:v>ratio</x:v>
      </x:c>
      <x:c r="G45" s="273" t="str">
        <x:v>Partially populated</x:v>
      </x:c>
      <x:c r="H45" s="273" t="str">
        <x:v>Partially populated</x:v>
      </x:c>
      <x:c r="I45" s="274" t="n">
        <x:v>58</x:v>
      </x:c>
      <x:c r="J45" s="274" t="n">
        <x:v>39</x:v>
      </x:c>
      <x:c r="K45" s="274" t="n">
        <x:v>19</x:v>
      </x:c>
      <x:c r="L45" s="274" t="n">
        <x:v>58</x:v>
      </x:c>
      <x:c r="M45" s="275" t="n">
        <x:v>45839</x:v>
      </x:c>
      <x:c r="N45" s="275" t="n">
        <x:v>45839</x:v>
      </x:c>
      <x:c r="O45" s="274" t="n">
        <x:v>0</x:v>
      </x:c>
      <x:c r="P45" s="274" t="n">
        <x:v>0</x:v>
      </x:c>
      <x:c r="Q45" s="274" t="n">
        <x:v>0</x:v>
      </x:c>
      <x:c r="R45" s="274" t="n">
        <x:v>19</x:v>
      </x:c>
      <x:c r="S45" s="273" t="str">
        <x:v>cfpb_hmda_modified_lar</x:v>
      </x:c>
    </x:row>
    <x:row r="46" ht="28" customHeight="1">
      <x:c r="A46" s="273" t="str">
        <x:v>hmda_property_value_weighted_downpayment_rate_fha</x:v>
      </x:c>
      <x:c r="B46" s="273" t="str">
        <x:v>HMDA property-value-weighted down-payment rate - FHA</x:v>
      </x:c>
      <x:c r="C46" s="273" t="str">
        <x:v>HMDA rates and threshold shares</x:v>
      </x:c>
      <x:c r="D46" s="279" t="str">
        <x:v>B</x:v>
      </x:c>
      <x:c r="E46" s="273" t="str">
        <x:v>hmda_property_value_weighted_downpayment_rate_fha_monthly_hist</x:v>
      </x:c>
      <x:c r="F46" s="273" t="str">
        <x:v>rate</x:v>
      </x:c>
      <x:c r="G46" s="273" t="str">
        <x:v>canonical_modeled_repeat</x:v>
      </x:c>
      <x:c r="H46" s="273" t="str">
        <x:v>Partially populated</x:v>
      </x:c>
      <x:c r="I46" s="274" t="n">
        <x:v>696</x:v>
      </x:c>
      <x:c r="J46" s="274" t="n">
        <x:v>468</x:v>
      </x:c>
      <x:c r="K46" s="274" t="n">
        <x:v>228</x:v>
      </x:c>
      <x:c r="L46" s="274" t="n">
        <x:v>58</x:v>
      </x:c>
      <x:c r="M46" s="275" t="n">
        <x:v>45688</x:v>
      </x:c>
      <x:c r="N46" s="275" t="n">
        <x:v>46022</x:v>
      </x:c>
      <x:c r="O46" s="274" t="n">
        <x:v>0</x:v>
      </x:c>
      <x:c r="P46" s="274" t="n">
        <x:v>0</x:v>
      </x:c>
      <x:c r="Q46" s="274" t="n">
        <x:v>0</x:v>
      </x:c>
      <x:c r="R46" s="274" t="n">
        <x:v>228</x:v>
      </x:c>
      <x:c r="S46" s="273" t="str">
        <x:v>cfpb_hmda_modified_lar</x:v>
      </x:c>
    </x:row>
    <x:row r="47" ht="28" customHeight="1">
      <x:c r="A47" s="273" t="str">
        <x:v>hmda_property_value_weighted_downpayment_rate_fha</x:v>
      </x:c>
      <x:c r="B47" s="273" t="str">
        <x:v>HMDA property-value-weighted down-payment rate - FHA</x:v>
      </x:c>
      <x:c r="C47" s="273" t="str">
        <x:v>HMDA rates and threshold shares</x:v>
      </x:c>
      <x:c r="D47" s="281" t="str">
        <x:v>C</x:v>
      </x:c>
      <x:c r="E47" s="273" t="str">
        <x:v>hmda_property_value_weighted_downpayment_rate_fha_monthly_rt</x:v>
      </x:c>
      <x:c r="F47" s="273" t="str">
        <x:v>rate</x:v>
      </x:c>
      <x:c r="G47" s="273" t="str">
        <x:v>canonical_modeled_carry</x:v>
      </x:c>
      <x:c r="H47" s="273" t="str">
        <x:v>Partially populated</x:v>
      </x:c>
      <x:c r="I47" s="274" t="n">
        <x:v>3248</x:v>
      </x:c>
      <x:c r="J47" s="274" t="n">
        <x:v>780</x:v>
      </x:c>
      <x:c r="K47" s="274" t="n">
        <x:v>2468</x:v>
      </x:c>
      <x:c r="L47" s="274" t="n">
        <x:v>58</x:v>
      </x:c>
      <x:c r="M47" s="275" t="n">
        <x:v>44592</x:v>
      </x:c>
      <x:c r="N47" s="275" t="n">
        <x:v>46265</x:v>
      </x:c>
      <x:c r="O47" s="274" t="n">
        <x:v>464</x:v>
      </x:c>
      <x:c r="P47" s="274" t="n">
        <x:v>0</x:v>
      </x:c>
      <x:c r="Q47" s="274" t="n">
        <x:v>3190</x:v>
      </x:c>
      <x:c r="R47" s="274" t="n">
        <x:v>1064</x:v>
      </x:c>
      <x:c r="S47" s="273" t="str">
        <x:v>cfpb_hmda_modified_lar</x:v>
      </x:c>
    </x:row>
    <x:row r="48" ht="28" customHeight="1">
      <x:c r="A48" s="273" t="str">
        <x:v>hmda_median_downpayment_rate_va</x:v>
      </x:c>
      <x:c r="B48" s="273" t="str">
        <x:v>HMDA median down-payment rate - VA</x:v>
      </x:c>
      <x:c r="C48" s="273" t="str">
        <x:v>HMDA rates and threshold shares</x:v>
      </x:c>
      <x:c r="D48" s="277" t="str">
        <x:v>A</x:v>
      </x:c>
      <x:c r="E48" s="273" t="str">
        <x:v>hmda_median_downpayment_rate_va_benchmark</x:v>
      </x:c>
      <x:c r="F48" s="273" t="str">
        <x:v>ratio</x:v>
      </x:c>
      <x:c r="G48" s="273" t="str">
        <x:v>Partially populated</x:v>
      </x:c>
      <x:c r="H48" s="273" t="str">
        <x:v>Partially populated</x:v>
      </x:c>
      <x:c r="I48" s="274" t="n">
        <x:v>58</x:v>
      </x:c>
      <x:c r="J48" s="274" t="n">
        <x:v>23</x:v>
      </x:c>
      <x:c r="K48" s="274" t="n">
        <x:v>35</x:v>
      </x:c>
      <x:c r="L48" s="274" t="n">
        <x:v>58</x:v>
      </x:c>
      <x:c r="M48" s="275" t="n">
        <x:v>45839</x:v>
      </x:c>
      <x:c r="N48" s="275" t="n">
        <x:v>45839</x:v>
      </x:c>
      <x:c r="O48" s="274" t="n">
        <x:v>0</x:v>
      </x:c>
      <x:c r="P48" s="274" t="n">
        <x:v>0</x:v>
      </x:c>
      <x:c r="Q48" s="274" t="n">
        <x:v>0</x:v>
      </x:c>
      <x:c r="R48" s="274" t="n">
        <x:v>35</x:v>
      </x:c>
      <x:c r="S48" s="273" t="str">
        <x:v>cfpb_hmda_modified_lar</x:v>
      </x:c>
    </x:row>
    <x:row r="49" ht="28" customHeight="1">
      <x:c r="A49" s="273" t="str">
        <x:v>hmda_median_downpayment_rate_va</x:v>
      </x:c>
      <x:c r="B49" s="273" t="str">
        <x:v>HMDA median down-payment rate - VA</x:v>
      </x:c>
      <x:c r="C49" s="273" t="str">
        <x:v>HMDA rates and threshold shares</x:v>
      </x:c>
      <x:c r="D49" s="279" t="str">
        <x:v>B</x:v>
      </x:c>
      <x:c r="E49" s="273" t="str">
        <x:v>hmda_median_downpayment_rate_va_monthly_hist</x:v>
      </x:c>
      <x:c r="F49" s="273" t="str">
        <x:v>rate</x:v>
      </x:c>
      <x:c r="G49" s="273" t="str">
        <x:v>canonical_modeled_repeat</x:v>
      </x:c>
      <x:c r="H49" s="273" t="str">
        <x:v>Partially populated</x:v>
      </x:c>
      <x:c r="I49" s="274" t="n">
        <x:v>696</x:v>
      </x:c>
      <x:c r="J49" s="274" t="n">
        <x:v>276</x:v>
      </x:c>
      <x:c r="K49" s="274" t="n">
        <x:v>420</x:v>
      </x:c>
      <x:c r="L49" s="274" t="n">
        <x:v>58</x:v>
      </x:c>
      <x:c r="M49" s="275" t="n">
        <x:v>45688</x:v>
      </x:c>
      <x:c r="N49" s="275" t="n">
        <x:v>46022</x:v>
      </x:c>
      <x:c r="O49" s="274" t="n">
        <x:v>0</x:v>
      </x:c>
      <x:c r="P49" s="274" t="n">
        <x:v>0</x:v>
      </x:c>
      <x:c r="Q49" s="274" t="n">
        <x:v>0</x:v>
      </x:c>
      <x:c r="R49" s="274" t="n">
        <x:v>420</x:v>
      </x:c>
      <x:c r="S49" s="273" t="str">
        <x:v>cfpb_hmda_modified_lar</x:v>
      </x:c>
    </x:row>
    <x:row r="50" ht="28" customHeight="1">
      <x:c r="A50" s="273" t="str">
        <x:v>hmda_median_downpayment_rate_va</x:v>
      </x:c>
      <x:c r="B50" s="273" t="str">
        <x:v>HMDA median down-payment rate - VA</x:v>
      </x:c>
      <x:c r="C50" s="273" t="str">
        <x:v>HMDA rates and threshold shares</x:v>
      </x:c>
      <x:c r="D50" s="281" t="str">
        <x:v>C</x:v>
      </x:c>
      <x:c r="E50" s="273" t="str">
        <x:v>hmda_median_downpayment_rate_va_monthly_rt</x:v>
      </x:c>
      <x:c r="F50" s="273" t="str">
        <x:v>rate</x:v>
      </x:c>
      <x:c r="G50" s="273" t="str">
        <x:v>canonical_modeled_carry</x:v>
      </x:c>
      <x:c r="H50" s="273" t="str">
        <x:v>Partially populated</x:v>
      </x:c>
      <x:c r="I50" s="274" t="n">
        <x:v>3248</x:v>
      </x:c>
      <x:c r="J50" s="274" t="n">
        <x:v>460</x:v>
      </x:c>
      <x:c r="K50" s="274" t="n">
        <x:v>2788</x:v>
      </x:c>
      <x:c r="L50" s="274" t="n">
        <x:v>58</x:v>
      </x:c>
      <x:c r="M50" s="275" t="n">
        <x:v>44592</x:v>
      </x:c>
      <x:c r="N50" s="275" t="n">
        <x:v>46265</x:v>
      </x:c>
      <x:c r="O50" s="274" t="n">
        <x:v>464</x:v>
      </x:c>
      <x:c r="P50" s="274" t="n">
        <x:v>0</x:v>
      </x:c>
      <x:c r="Q50" s="274" t="n">
        <x:v>3190</x:v>
      </x:c>
      <x:c r="R50" s="274" t="n">
        <x:v>1960</x:v>
      </x:c>
      <x:c r="S50" s="273" t="str">
        <x:v>cfpb_hmda_modified_lar</x:v>
      </x:c>
    </x:row>
    <x:row r="51" ht="28" customHeight="1">
      <x:c r="A51" s="273" t="str">
        <x:v>hmda_property_value_weighted_downpayment_rate_va</x:v>
      </x:c>
      <x:c r="B51" s="273" t="str">
        <x:v>HMDA property-value-weighted down-payment rate - VA</x:v>
      </x:c>
      <x:c r="C51" s="273" t="str">
        <x:v>HMDA rates and threshold shares</x:v>
      </x:c>
      <x:c r="D51" s="277" t="str">
        <x:v>A</x:v>
      </x:c>
      <x:c r="E51" s="273" t="str">
        <x:v>hmda_property_value_weighted_downpayment_rate_va_benchmark</x:v>
      </x:c>
      <x:c r="F51" s="273" t="str">
        <x:v>ratio</x:v>
      </x:c>
      <x:c r="G51" s="273" t="str">
        <x:v>Partially populated</x:v>
      </x:c>
      <x:c r="H51" s="273" t="str">
        <x:v>Partially populated</x:v>
      </x:c>
      <x:c r="I51" s="274" t="n">
        <x:v>58</x:v>
      </x:c>
      <x:c r="J51" s="274" t="n">
        <x:v>23</x:v>
      </x:c>
      <x:c r="K51" s="274" t="n">
        <x:v>35</x:v>
      </x:c>
      <x:c r="L51" s="274" t="n">
        <x:v>58</x:v>
      </x:c>
      <x:c r="M51" s="275" t="n">
        <x:v>45839</x:v>
      </x:c>
      <x:c r="N51" s="275" t="n">
        <x:v>45839</x:v>
      </x:c>
      <x:c r="O51" s="274" t="n">
        <x:v>0</x:v>
      </x:c>
      <x:c r="P51" s="274" t="n">
        <x:v>0</x:v>
      </x:c>
      <x:c r="Q51" s="274" t="n">
        <x:v>0</x:v>
      </x:c>
      <x:c r="R51" s="274" t="n">
        <x:v>35</x:v>
      </x:c>
      <x:c r="S51" s="273" t="str">
        <x:v>cfpb_hmda_modified_lar</x:v>
      </x:c>
    </x:row>
    <x:row r="52" ht="28" customHeight="1">
      <x:c r="A52" s="273" t="str">
        <x:v>hmda_property_value_weighted_downpayment_rate_va</x:v>
      </x:c>
      <x:c r="B52" s="273" t="str">
        <x:v>HMDA property-value-weighted down-payment rate - VA</x:v>
      </x:c>
      <x:c r="C52" s="273" t="str">
        <x:v>HMDA rates and threshold shares</x:v>
      </x:c>
      <x:c r="D52" s="279" t="str">
        <x:v>B</x:v>
      </x:c>
      <x:c r="E52" s="273" t="str">
        <x:v>hmda_property_value_weighted_downpayment_rate_va_monthly_hist</x:v>
      </x:c>
      <x:c r="F52" s="273" t="str">
        <x:v>rate</x:v>
      </x:c>
      <x:c r="G52" s="273" t="str">
        <x:v>canonical_modeled_repeat</x:v>
      </x:c>
      <x:c r="H52" s="273" t="str">
        <x:v>Partially populated</x:v>
      </x:c>
      <x:c r="I52" s="274" t="n">
        <x:v>696</x:v>
      </x:c>
      <x:c r="J52" s="274" t="n">
        <x:v>276</x:v>
      </x:c>
      <x:c r="K52" s="274" t="n">
        <x:v>420</x:v>
      </x:c>
      <x:c r="L52" s="274" t="n">
        <x:v>58</x:v>
      </x:c>
      <x:c r="M52" s="275" t="n">
        <x:v>45688</x:v>
      </x:c>
      <x:c r="N52" s="275" t="n">
        <x:v>46022</x:v>
      </x:c>
      <x:c r="O52" s="274" t="n">
        <x:v>0</x:v>
      </x:c>
      <x:c r="P52" s="274" t="n">
        <x:v>0</x:v>
      </x:c>
      <x:c r="Q52" s="274" t="n">
        <x:v>0</x:v>
      </x:c>
      <x:c r="R52" s="274" t="n">
        <x:v>420</x:v>
      </x:c>
      <x:c r="S52" s="273" t="str">
        <x:v>cfpb_hmda_modified_lar</x:v>
      </x:c>
    </x:row>
    <x:row r="53" ht="28" customHeight="1">
      <x:c r="A53" s="273" t="str">
        <x:v>hmda_property_value_weighted_downpayment_rate_va</x:v>
      </x:c>
      <x:c r="B53" s="273" t="str">
        <x:v>HMDA property-value-weighted down-payment rate - VA</x:v>
      </x:c>
      <x:c r="C53" s="273" t="str">
        <x:v>HMDA rates and threshold shares</x:v>
      </x:c>
      <x:c r="D53" s="281" t="str">
        <x:v>C</x:v>
      </x:c>
      <x:c r="E53" s="273" t="str">
        <x:v>hmda_property_value_weighted_downpayment_rate_va_monthly_rt</x:v>
      </x:c>
      <x:c r="F53" s="273" t="str">
        <x:v>rate</x:v>
      </x:c>
      <x:c r="G53" s="273" t="str">
        <x:v>canonical_modeled_carry</x:v>
      </x:c>
      <x:c r="H53" s="273" t="str">
        <x:v>Partially populated</x:v>
      </x:c>
      <x:c r="I53" s="274" t="n">
        <x:v>3248</x:v>
      </x:c>
      <x:c r="J53" s="274" t="n">
        <x:v>460</x:v>
      </x:c>
      <x:c r="K53" s="274" t="n">
        <x:v>2788</x:v>
      </x:c>
      <x:c r="L53" s="274" t="n">
        <x:v>58</x:v>
      </x:c>
      <x:c r="M53" s="275" t="n">
        <x:v>44592</x:v>
      </x:c>
      <x:c r="N53" s="275" t="n">
        <x:v>46265</x:v>
      </x:c>
      <x:c r="O53" s="274" t="n">
        <x:v>464</x:v>
      </x:c>
      <x:c r="P53" s="274" t="n">
        <x:v>0</x:v>
      </x:c>
      <x:c r="Q53" s="274" t="n">
        <x:v>3190</x:v>
      </x:c>
      <x:c r="R53" s="274" t="n">
        <x:v>1960</x:v>
      </x:c>
      <x:c r="S53" s="273" t="str">
        <x:v>cfpb_hmda_modified_lar</x:v>
      </x:c>
    </x:row>
    <x:row r="54" ht="28" customHeight="1">
      <x:c r="A54" s="273" t="str">
        <x:v>hmda_share_downpayment_below_3pct</x:v>
      </x:c>
      <x:c r="B54" s="273" t="str">
        <x:v>HMDA share below 3% down</x:v>
      </x:c>
      <x:c r="C54" s="273" t="str">
        <x:v>HMDA rates and threshold shares</x:v>
      </x:c>
      <x:c r="D54" s="277" t="str">
        <x:v>A</x:v>
      </x:c>
      <x:c r="E54" s="273" t="str">
        <x:v>hmda_share_downpayment_below_3pct_benchmark</x:v>
      </x:c>
      <x:c r="F54" s="273" t="str">
        <x:v>ratio</x:v>
      </x:c>
      <x:c r="G54" s="273" t="str">
        <x:v>Partially populated</x:v>
      </x:c>
      <x:c r="H54" s="273" t="str">
        <x:v>Partially populated</x:v>
      </x:c>
      <x:c r="I54" s="274" t="n">
        <x:v>58</x:v>
      </x:c>
      <x:c r="J54" s="274" t="n">
        <x:v>55</x:v>
      </x:c>
      <x:c r="K54" s="274" t="n">
        <x:v>3</x:v>
      </x:c>
      <x:c r="L54" s="274" t="n">
        <x:v>58</x:v>
      </x:c>
      <x:c r="M54" s="275" t="n">
        <x:v>45839</x:v>
      </x:c>
      <x:c r="N54" s="275" t="n">
        <x:v>45839</x:v>
      </x:c>
      <x:c r="O54" s="274" t="n">
        <x:v>0</x:v>
      </x:c>
      <x:c r="P54" s="274" t="n">
        <x:v>0</x:v>
      </x:c>
      <x:c r="Q54" s="274" t="n">
        <x:v>0</x:v>
      </x:c>
      <x:c r="R54" s="274" t="n">
        <x:v>3</x:v>
      </x:c>
      <x:c r="S54" s="273" t="str">
        <x:v>cfpb_hmda_modified_lar</x:v>
      </x:c>
    </x:row>
    <x:row r="55" ht="28" customHeight="1">
      <x:c r="A55" s="273" t="str">
        <x:v>hmda_share_downpayment_below_3pct</x:v>
      </x:c>
      <x:c r="B55" s="273" t="str">
        <x:v>HMDA share below 3% down</x:v>
      </x:c>
      <x:c r="C55" s="273" t="str">
        <x:v>HMDA rates and threshold shares</x:v>
      </x:c>
      <x:c r="D55" s="279" t="str">
        <x:v>B</x:v>
      </x:c>
      <x:c r="E55" s="273" t="str">
        <x:v>hmda_share_downpayment_below_3pct_monthly_hist</x:v>
      </x:c>
      <x:c r="F55" s="273" t="str">
        <x:v>share</x:v>
      </x:c>
      <x:c r="G55" s="273" t="str">
        <x:v>canonical_modeled_repeat</x:v>
      </x:c>
      <x:c r="H55" s="273" t="str">
        <x:v>Partially populated</x:v>
      </x:c>
      <x:c r="I55" s="274" t="n">
        <x:v>696</x:v>
      </x:c>
      <x:c r="J55" s="274" t="n">
        <x:v>660</x:v>
      </x:c>
      <x:c r="K55" s="274" t="n">
        <x:v>36</x:v>
      </x:c>
      <x:c r="L55" s="274" t="n">
        <x:v>58</x:v>
      </x:c>
      <x:c r="M55" s="275" t="n">
        <x:v>45688</x:v>
      </x:c>
      <x:c r="N55" s="275" t="n">
        <x:v>46022</x:v>
      </x:c>
      <x:c r="O55" s="274" t="n">
        <x:v>0</x:v>
      </x:c>
      <x:c r="P55" s="274" t="n">
        <x:v>0</x:v>
      </x:c>
      <x:c r="Q55" s="274" t="n">
        <x:v>0</x:v>
      </x:c>
      <x:c r="R55" s="274" t="n">
        <x:v>36</x:v>
      </x:c>
      <x:c r="S55" s="273" t="str">
        <x:v>cfpb_hmda_modified_lar</x:v>
      </x:c>
    </x:row>
    <x:row r="56" ht="28" customHeight="1">
      <x:c r="A56" s="273" t="str">
        <x:v>hmda_share_downpayment_below_3pct</x:v>
      </x:c>
      <x:c r="B56" s="273" t="str">
        <x:v>HMDA share below 3% down</x:v>
      </x:c>
      <x:c r="C56" s="273" t="str">
        <x:v>HMDA rates and threshold shares</x:v>
      </x:c>
      <x:c r="D56" s="281" t="str">
        <x:v>C</x:v>
      </x:c>
      <x:c r="E56" s="273" t="str">
        <x:v>hmda_share_downpayment_below_3pct_monthly_rt</x:v>
      </x:c>
      <x:c r="F56" s="273" t="str">
        <x:v>share</x:v>
      </x:c>
      <x:c r="G56" s="273" t="str">
        <x:v>canonical_modeled_carry</x:v>
      </x:c>
      <x:c r="H56" s="273" t="str">
        <x:v>Partially populated</x:v>
      </x:c>
      <x:c r="I56" s="274" t="n">
        <x:v>3248</x:v>
      </x:c>
      <x:c r="J56" s="274" t="n">
        <x:v>1100</x:v>
      </x:c>
      <x:c r="K56" s="274" t="n">
        <x:v>2148</x:v>
      </x:c>
      <x:c r="L56" s="274" t="n">
        <x:v>58</x:v>
      </x:c>
      <x:c r="M56" s="275" t="n">
        <x:v>44592</x:v>
      </x:c>
      <x:c r="N56" s="275" t="n">
        <x:v>46265</x:v>
      </x:c>
      <x:c r="O56" s="274" t="n">
        <x:v>464</x:v>
      </x:c>
      <x:c r="P56" s="274" t="n">
        <x:v>0</x:v>
      </x:c>
      <x:c r="Q56" s="274" t="n">
        <x:v>3190</x:v>
      </x:c>
      <x:c r="R56" s="274" t="n">
        <x:v>168</x:v>
      </x:c>
      <x:c r="S56" s="273" t="str">
        <x:v>cfpb_hmda_modified_lar</x:v>
      </x:c>
    </x:row>
    <x:row r="57" ht="28" customHeight="1">
      <x:c r="A57" s="273" t="str">
        <x:v>hmda_share_downpayment_below_5pct</x:v>
      </x:c>
      <x:c r="B57" s="273" t="str">
        <x:v>HMDA share below 5% down</x:v>
      </x:c>
      <x:c r="C57" s="273" t="str">
        <x:v>HMDA rates and threshold shares</x:v>
      </x:c>
      <x:c r="D57" s="277" t="str">
        <x:v>A</x:v>
      </x:c>
      <x:c r="E57" s="273" t="str">
        <x:v>hmda_share_downpayment_below_5pct_benchmark</x:v>
      </x:c>
      <x:c r="F57" s="273" t="str">
        <x:v>ratio</x:v>
      </x:c>
      <x:c r="G57" s="273" t="str">
        <x:v>Partially populated</x:v>
      </x:c>
      <x:c r="H57" s="273" t="str">
        <x:v>Partially populated</x:v>
      </x:c>
      <x:c r="I57" s="274" t="n">
        <x:v>58</x:v>
      </x:c>
      <x:c r="J57" s="274" t="n">
        <x:v>55</x:v>
      </x:c>
      <x:c r="K57" s="274" t="n">
        <x:v>3</x:v>
      </x:c>
      <x:c r="L57" s="274" t="n">
        <x:v>58</x:v>
      </x:c>
      <x:c r="M57" s="275" t="n">
        <x:v>45839</x:v>
      </x:c>
      <x:c r="N57" s="275" t="n">
        <x:v>45839</x:v>
      </x:c>
      <x:c r="O57" s="274" t="n">
        <x:v>0</x:v>
      </x:c>
      <x:c r="P57" s="274" t="n">
        <x:v>0</x:v>
      </x:c>
      <x:c r="Q57" s="274" t="n">
        <x:v>0</x:v>
      </x:c>
      <x:c r="R57" s="274" t="n">
        <x:v>3</x:v>
      </x:c>
      <x:c r="S57" s="273" t="str">
        <x:v>cfpb_hmda_modified_lar</x:v>
      </x:c>
    </x:row>
    <x:row r="58" ht="28" customHeight="1">
      <x:c r="A58" s="273" t="str">
        <x:v>hmda_share_downpayment_below_5pct</x:v>
      </x:c>
      <x:c r="B58" s="273" t="str">
        <x:v>HMDA share below 5% down</x:v>
      </x:c>
      <x:c r="C58" s="273" t="str">
        <x:v>HMDA rates and threshold shares</x:v>
      </x:c>
      <x:c r="D58" s="279" t="str">
        <x:v>B</x:v>
      </x:c>
      <x:c r="E58" s="273" t="str">
        <x:v>hmda_share_downpayment_below_5pct_monthly_hist</x:v>
      </x:c>
      <x:c r="F58" s="273" t="str">
        <x:v>share</x:v>
      </x:c>
      <x:c r="G58" s="273" t="str">
        <x:v>canonical_modeled_repeat</x:v>
      </x:c>
      <x:c r="H58" s="273" t="str">
        <x:v>Partially populated</x:v>
      </x:c>
      <x:c r="I58" s="274" t="n">
        <x:v>696</x:v>
      </x:c>
      <x:c r="J58" s="274" t="n">
        <x:v>660</x:v>
      </x:c>
      <x:c r="K58" s="274" t="n">
        <x:v>36</x:v>
      </x:c>
      <x:c r="L58" s="274" t="n">
        <x:v>58</x:v>
      </x:c>
      <x:c r="M58" s="275" t="n">
        <x:v>45688</x:v>
      </x:c>
      <x:c r="N58" s="275" t="n">
        <x:v>46022</x:v>
      </x:c>
      <x:c r="O58" s="274" t="n">
        <x:v>0</x:v>
      </x:c>
      <x:c r="P58" s="274" t="n">
        <x:v>0</x:v>
      </x:c>
      <x:c r="Q58" s="274" t="n">
        <x:v>0</x:v>
      </x:c>
      <x:c r="R58" s="274" t="n">
        <x:v>36</x:v>
      </x:c>
      <x:c r="S58" s="273" t="str">
        <x:v>cfpb_hmda_modified_lar</x:v>
      </x:c>
    </x:row>
    <x:row r="59" ht="28" customHeight="1">
      <x:c r="A59" s="273" t="str">
        <x:v>hmda_share_downpayment_below_5pct</x:v>
      </x:c>
      <x:c r="B59" s="273" t="str">
        <x:v>HMDA share below 5% down</x:v>
      </x:c>
      <x:c r="C59" s="273" t="str">
        <x:v>HMDA rates and threshold shares</x:v>
      </x:c>
      <x:c r="D59" s="281" t="str">
        <x:v>C</x:v>
      </x:c>
      <x:c r="E59" s="273" t="str">
        <x:v>hmda_share_downpayment_below_5pct_monthly_rt</x:v>
      </x:c>
      <x:c r="F59" s="273" t="str">
        <x:v>share</x:v>
      </x:c>
      <x:c r="G59" s="273" t="str">
        <x:v>canonical_modeled_carry</x:v>
      </x:c>
      <x:c r="H59" s="273" t="str">
        <x:v>Partially populated</x:v>
      </x:c>
      <x:c r="I59" s="274" t="n">
        <x:v>3248</x:v>
      </x:c>
      <x:c r="J59" s="274" t="n">
        <x:v>1100</x:v>
      </x:c>
      <x:c r="K59" s="274" t="n">
        <x:v>2148</x:v>
      </x:c>
      <x:c r="L59" s="274" t="n">
        <x:v>58</x:v>
      </x:c>
      <x:c r="M59" s="275" t="n">
        <x:v>44592</x:v>
      </x:c>
      <x:c r="N59" s="275" t="n">
        <x:v>46265</x:v>
      </x:c>
      <x:c r="O59" s="274" t="n">
        <x:v>464</x:v>
      </x:c>
      <x:c r="P59" s="274" t="n">
        <x:v>0</x:v>
      </x:c>
      <x:c r="Q59" s="274" t="n">
        <x:v>3190</x:v>
      </x:c>
      <x:c r="R59" s="274" t="n">
        <x:v>168</x:v>
      </x:c>
      <x:c r="S59" s="273" t="str">
        <x:v>cfpb_hmda_modified_lar</x:v>
      </x:c>
    </x:row>
    <x:row r="60" ht="28" customHeight="1">
      <x:c r="A60" s="273" t="str">
        <x:v>hmda_share_downpayment_below_10pct</x:v>
      </x:c>
      <x:c r="B60" s="273" t="str">
        <x:v>HMDA share below 10% down</x:v>
      </x:c>
      <x:c r="C60" s="273" t="str">
        <x:v>HMDA rates and threshold shares</x:v>
      </x:c>
      <x:c r="D60" s="277" t="str">
        <x:v>A</x:v>
      </x:c>
      <x:c r="E60" s="273" t="str">
        <x:v>hmda_share_downpayment_below_10pct_benchmark</x:v>
      </x:c>
      <x:c r="F60" s="273" t="str">
        <x:v>ratio</x:v>
      </x:c>
      <x:c r="G60" s="273" t="str">
        <x:v>Partially populated</x:v>
      </x:c>
      <x:c r="H60" s="273" t="str">
        <x:v>Partially populated</x:v>
      </x:c>
      <x:c r="I60" s="274" t="n">
        <x:v>58</x:v>
      </x:c>
      <x:c r="J60" s="274" t="n">
        <x:v>55</x:v>
      </x:c>
      <x:c r="K60" s="274" t="n">
        <x:v>3</x:v>
      </x:c>
      <x:c r="L60" s="274" t="n">
        <x:v>58</x:v>
      </x:c>
      <x:c r="M60" s="275" t="n">
        <x:v>45839</x:v>
      </x:c>
      <x:c r="N60" s="275" t="n">
        <x:v>45839</x:v>
      </x:c>
      <x:c r="O60" s="274" t="n">
        <x:v>0</x:v>
      </x:c>
      <x:c r="P60" s="274" t="n">
        <x:v>0</x:v>
      </x:c>
      <x:c r="Q60" s="274" t="n">
        <x:v>0</x:v>
      </x:c>
      <x:c r="R60" s="274" t="n">
        <x:v>3</x:v>
      </x:c>
      <x:c r="S60" s="273" t="str">
        <x:v>cfpb_hmda_modified_lar</x:v>
      </x:c>
    </x:row>
    <x:row r="61" ht="28" customHeight="1">
      <x:c r="A61" s="273" t="str">
        <x:v>hmda_share_downpayment_below_10pct</x:v>
      </x:c>
      <x:c r="B61" s="273" t="str">
        <x:v>HMDA share below 10% down</x:v>
      </x:c>
      <x:c r="C61" s="273" t="str">
        <x:v>HMDA rates and threshold shares</x:v>
      </x:c>
      <x:c r="D61" s="279" t="str">
        <x:v>B</x:v>
      </x:c>
      <x:c r="E61" s="273" t="str">
        <x:v>hmda_share_downpayment_below_10pct_monthly_hist</x:v>
      </x:c>
      <x:c r="F61" s="273" t="str">
        <x:v>share</x:v>
      </x:c>
      <x:c r="G61" s="273" t="str">
        <x:v>canonical_modeled_repeat</x:v>
      </x:c>
      <x:c r="H61" s="273" t="str">
        <x:v>Partially populated</x:v>
      </x:c>
      <x:c r="I61" s="274" t="n">
        <x:v>696</x:v>
      </x:c>
      <x:c r="J61" s="274" t="n">
        <x:v>660</x:v>
      </x:c>
      <x:c r="K61" s="274" t="n">
        <x:v>36</x:v>
      </x:c>
      <x:c r="L61" s="274" t="n">
        <x:v>58</x:v>
      </x:c>
      <x:c r="M61" s="275" t="n">
        <x:v>45688</x:v>
      </x:c>
      <x:c r="N61" s="275" t="n">
        <x:v>46022</x:v>
      </x:c>
      <x:c r="O61" s="274" t="n">
        <x:v>0</x:v>
      </x:c>
      <x:c r="P61" s="274" t="n">
        <x:v>0</x:v>
      </x:c>
      <x:c r="Q61" s="274" t="n">
        <x:v>0</x:v>
      </x:c>
      <x:c r="R61" s="274" t="n">
        <x:v>36</x:v>
      </x:c>
      <x:c r="S61" s="273" t="str">
        <x:v>cfpb_hmda_modified_lar</x:v>
      </x:c>
    </x:row>
    <x:row r="62" ht="28" customHeight="1">
      <x:c r="A62" s="273" t="str">
        <x:v>hmda_share_downpayment_below_10pct</x:v>
      </x:c>
      <x:c r="B62" s="273" t="str">
        <x:v>HMDA share below 10% down</x:v>
      </x:c>
      <x:c r="C62" s="273" t="str">
        <x:v>HMDA rates and threshold shares</x:v>
      </x:c>
      <x:c r="D62" s="281" t="str">
        <x:v>C</x:v>
      </x:c>
      <x:c r="E62" s="273" t="str">
        <x:v>hmda_share_downpayment_below_10pct_monthly_rt</x:v>
      </x:c>
      <x:c r="F62" s="273" t="str">
        <x:v>share</x:v>
      </x:c>
      <x:c r="G62" s="273" t="str">
        <x:v>canonical_modeled_carry</x:v>
      </x:c>
      <x:c r="H62" s="273" t="str">
        <x:v>Partially populated</x:v>
      </x:c>
      <x:c r="I62" s="274" t="n">
        <x:v>3248</x:v>
      </x:c>
      <x:c r="J62" s="274" t="n">
        <x:v>1100</x:v>
      </x:c>
      <x:c r="K62" s="274" t="n">
        <x:v>2148</x:v>
      </x:c>
      <x:c r="L62" s="274" t="n">
        <x:v>58</x:v>
      </x:c>
      <x:c r="M62" s="275" t="n">
        <x:v>44592</x:v>
      </x:c>
      <x:c r="N62" s="275" t="n">
        <x:v>46265</x:v>
      </x:c>
      <x:c r="O62" s="274" t="n">
        <x:v>464</x:v>
      </x:c>
      <x:c r="P62" s="274" t="n">
        <x:v>0</x:v>
      </x:c>
      <x:c r="Q62" s="274" t="n">
        <x:v>3190</x:v>
      </x:c>
      <x:c r="R62" s="274" t="n">
        <x:v>168</x:v>
      </x:c>
      <x:c r="S62" s="273" t="str">
        <x:v>cfpb_hmda_modified_lar</x:v>
      </x:c>
    </x:row>
    <x:row r="63" ht="28" customHeight="1">
      <x:c r="A63" s="273" t="str">
        <x:v>hmda_share_downpayment_below_20pct</x:v>
      </x:c>
      <x:c r="B63" s="273" t="str">
        <x:v>HMDA share below 20% down</x:v>
      </x:c>
      <x:c r="C63" s="273" t="str">
        <x:v>HMDA rates and threshold shares</x:v>
      </x:c>
      <x:c r="D63" s="277" t="str">
        <x:v>A</x:v>
      </x:c>
      <x:c r="E63" s="273" t="str">
        <x:v>hmda_share_downpayment_below_20pct_benchmark</x:v>
      </x:c>
      <x:c r="F63" s="273" t="str">
        <x:v>ratio</x:v>
      </x:c>
      <x:c r="G63" s="273" t="str">
        <x:v>Partially populated</x:v>
      </x:c>
      <x:c r="H63" s="273" t="str">
        <x:v>Partially populated</x:v>
      </x:c>
      <x:c r="I63" s="274" t="n">
        <x:v>58</x:v>
      </x:c>
      <x:c r="J63" s="274" t="n">
        <x:v>55</x:v>
      </x:c>
      <x:c r="K63" s="274" t="n">
        <x:v>3</x:v>
      </x:c>
      <x:c r="L63" s="274" t="n">
        <x:v>58</x:v>
      </x:c>
      <x:c r="M63" s="275" t="n">
        <x:v>45839</x:v>
      </x:c>
      <x:c r="N63" s="275" t="n">
        <x:v>45839</x:v>
      </x:c>
      <x:c r="O63" s="274" t="n">
        <x:v>0</x:v>
      </x:c>
      <x:c r="P63" s="274" t="n">
        <x:v>0</x:v>
      </x:c>
      <x:c r="Q63" s="274" t="n">
        <x:v>0</x:v>
      </x:c>
      <x:c r="R63" s="274" t="n">
        <x:v>3</x:v>
      </x:c>
      <x:c r="S63" s="273" t="str">
        <x:v>cfpb_hmda_modified_lar</x:v>
      </x:c>
    </x:row>
    <x:row r="64" ht="28" customHeight="1">
      <x:c r="A64" s="273" t="str">
        <x:v>hmda_share_downpayment_below_20pct</x:v>
      </x:c>
      <x:c r="B64" s="273" t="str">
        <x:v>HMDA share below 20% down</x:v>
      </x:c>
      <x:c r="C64" s="273" t="str">
        <x:v>HMDA rates and threshold shares</x:v>
      </x:c>
      <x:c r="D64" s="279" t="str">
        <x:v>B</x:v>
      </x:c>
      <x:c r="E64" s="273" t="str">
        <x:v>hmda_share_downpayment_below_20pct_monthly_hist</x:v>
      </x:c>
      <x:c r="F64" s="273" t="str">
        <x:v>share</x:v>
      </x:c>
      <x:c r="G64" s="273" t="str">
        <x:v>canonical_modeled_repeat</x:v>
      </x:c>
      <x:c r="H64" s="273" t="str">
        <x:v>Partially populated</x:v>
      </x:c>
      <x:c r="I64" s="274" t="n">
        <x:v>696</x:v>
      </x:c>
      <x:c r="J64" s="274" t="n">
        <x:v>660</x:v>
      </x:c>
      <x:c r="K64" s="274" t="n">
        <x:v>36</x:v>
      </x:c>
      <x:c r="L64" s="274" t="n">
        <x:v>58</x:v>
      </x:c>
      <x:c r="M64" s="275" t="n">
        <x:v>45688</x:v>
      </x:c>
      <x:c r="N64" s="275" t="n">
        <x:v>46022</x:v>
      </x:c>
      <x:c r="O64" s="274" t="n">
        <x:v>0</x:v>
      </x:c>
      <x:c r="P64" s="274" t="n">
        <x:v>0</x:v>
      </x:c>
      <x:c r="Q64" s="274" t="n">
        <x:v>0</x:v>
      </x:c>
      <x:c r="R64" s="274" t="n">
        <x:v>36</x:v>
      </x:c>
      <x:c r="S64" s="273" t="str">
        <x:v>cfpb_hmda_modified_lar</x:v>
      </x:c>
    </x:row>
    <x:row r="65" ht="28" customHeight="1">
      <x:c r="A65" s="273" t="str">
        <x:v>hmda_share_downpayment_below_20pct</x:v>
      </x:c>
      <x:c r="B65" s="273" t="str">
        <x:v>HMDA share below 20% down</x:v>
      </x:c>
      <x:c r="C65" s="273" t="str">
        <x:v>HMDA rates and threshold shares</x:v>
      </x:c>
      <x:c r="D65" s="281" t="str">
        <x:v>C</x:v>
      </x:c>
      <x:c r="E65" s="273" t="str">
        <x:v>hmda_share_downpayment_below_20pct_monthly_rt</x:v>
      </x:c>
      <x:c r="F65" s="273" t="str">
        <x:v>share</x:v>
      </x:c>
      <x:c r="G65" s="273" t="str">
        <x:v>canonical_modeled_carry</x:v>
      </x:c>
      <x:c r="H65" s="273" t="str">
        <x:v>Partially populated</x:v>
      </x:c>
      <x:c r="I65" s="274" t="n">
        <x:v>3248</x:v>
      </x:c>
      <x:c r="J65" s="274" t="n">
        <x:v>1100</x:v>
      </x:c>
      <x:c r="K65" s="274" t="n">
        <x:v>2148</x:v>
      </x:c>
      <x:c r="L65" s="274" t="n">
        <x:v>58</x:v>
      </x:c>
      <x:c r="M65" s="275" t="n">
        <x:v>44592</x:v>
      </x:c>
      <x:c r="N65" s="275" t="n">
        <x:v>46265</x:v>
      </x:c>
      <x:c r="O65" s="274" t="n">
        <x:v>464</x:v>
      </x:c>
      <x:c r="P65" s="274" t="n">
        <x:v>0</x:v>
      </x:c>
      <x:c r="Q65" s="274" t="n">
        <x:v>3190</x:v>
      </x:c>
      <x:c r="R65" s="274" t="n">
        <x:v>168</x:v>
      </x:c>
      <x:c r="S65" s="273" t="str">
        <x:v>cfpb_hmda_modified_lar</x:v>
      </x:c>
    </x:row>
    <x:row r="66" ht="28" customHeight="1">
      <x:c r="A66" s="273" t="str">
        <x:v>hmda_share_downpayment_below_3pct_conventional</x:v>
      </x:c>
      <x:c r="B66" s="273" t="str">
        <x:v>HMDA conventional share below 3% down</x:v>
      </x:c>
      <x:c r="C66" s="273" t="str">
        <x:v>HMDA rates and threshold shares</x:v>
      </x:c>
      <x:c r="D66" s="277" t="str">
        <x:v>A</x:v>
      </x:c>
      <x:c r="E66" s="273" t="str">
        <x:v>hmda_share_downpayment_below_3pct_conventional_benchmark</x:v>
      </x:c>
      <x:c r="F66" s="273" t="str">
        <x:v>ratio</x:v>
      </x:c>
      <x:c r="G66" s="273" t="str">
        <x:v>Partially populated</x:v>
      </x:c>
      <x:c r="H66" s="273" t="str">
        <x:v>Partially populated</x:v>
      </x:c>
      <x:c r="I66" s="274" t="n">
        <x:v>58</x:v>
      </x:c>
      <x:c r="J66" s="274" t="n">
        <x:v>46</x:v>
      </x:c>
      <x:c r="K66" s="274" t="n">
        <x:v>12</x:v>
      </x:c>
      <x:c r="L66" s="274" t="n">
        <x:v>58</x:v>
      </x:c>
      <x:c r="M66" s="275" t="n">
        <x:v>45839</x:v>
      </x:c>
      <x:c r="N66" s="275" t="n">
        <x:v>45839</x:v>
      </x:c>
      <x:c r="O66" s="274" t="n">
        <x:v>0</x:v>
      </x:c>
      <x:c r="P66" s="274" t="n">
        <x:v>0</x:v>
      </x:c>
      <x:c r="Q66" s="274" t="n">
        <x:v>0</x:v>
      </x:c>
      <x:c r="R66" s="274" t="n">
        <x:v>12</x:v>
      </x:c>
      <x:c r="S66" s="273" t="str">
        <x:v>cfpb_hmda_modified_lar</x:v>
      </x:c>
    </x:row>
    <x:row r="67" ht="28" customHeight="1">
      <x:c r="A67" s="273" t="str">
        <x:v>hmda_share_downpayment_below_3pct_conventional</x:v>
      </x:c>
      <x:c r="B67" s="273" t="str">
        <x:v>HMDA conventional share below 3% down</x:v>
      </x:c>
      <x:c r="C67" s="273" t="str">
        <x:v>HMDA rates and threshold shares</x:v>
      </x:c>
      <x:c r="D67" s="279" t="str">
        <x:v>B</x:v>
      </x:c>
      <x:c r="E67" s="273" t="str">
        <x:v>hmda_share_downpayment_below_3pct_conventional_monthly_hist</x:v>
      </x:c>
      <x:c r="F67" s="273" t="str">
        <x:v>share</x:v>
      </x:c>
      <x:c r="G67" s="273" t="str">
        <x:v>canonical_modeled_repeat</x:v>
      </x:c>
      <x:c r="H67" s="273" t="str">
        <x:v>Partially populated</x:v>
      </x:c>
      <x:c r="I67" s="274" t="n">
        <x:v>696</x:v>
      </x:c>
      <x:c r="J67" s="274" t="n">
        <x:v>552</x:v>
      </x:c>
      <x:c r="K67" s="274" t="n">
        <x:v>144</x:v>
      </x:c>
      <x:c r="L67" s="274" t="n">
        <x:v>58</x:v>
      </x:c>
      <x:c r="M67" s="275" t="n">
        <x:v>45688</x:v>
      </x:c>
      <x:c r="N67" s="275" t="n">
        <x:v>46022</x:v>
      </x:c>
      <x:c r="O67" s="274" t="n">
        <x:v>0</x:v>
      </x:c>
      <x:c r="P67" s="274" t="n">
        <x:v>0</x:v>
      </x:c>
      <x:c r="Q67" s="274" t="n">
        <x:v>0</x:v>
      </x:c>
      <x:c r="R67" s="274" t="n">
        <x:v>144</x:v>
      </x:c>
      <x:c r="S67" s="273" t="str">
        <x:v>cfpb_hmda_modified_lar</x:v>
      </x:c>
    </x:row>
    <x:row r="68" ht="28" customHeight="1">
      <x:c r="A68" s="273" t="str">
        <x:v>hmda_share_downpayment_below_3pct_conventional</x:v>
      </x:c>
      <x:c r="B68" s="273" t="str">
        <x:v>HMDA conventional share below 3% down</x:v>
      </x:c>
      <x:c r="C68" s="273" t="str">
        <x:v>HMDA rates and threshold shares</x:v>
      </x:c>
      <x:c r="D68" s="281" t="str">
        <x:v>C</x:v>
      </x:c>
      <x:c r="E68" s="273" t="str">
        <x:v>hmda_share_downpayment_below_3pct_conventional_monthly_rt</x:v>
      </x:c>
      <x:c r="F68" s="273" t="str">
        <x:v>share</x:v>
      </x:c>
      <x:c r="G68" s="273" t="str">
        <x:v>canonical_modeled_carry</x:v>
      </x:c>
      <x:c r="H68" s="273" t="str">
        <x:v>Partially populated</x:v>
      </x:c>
      <x:c r="I68" s="274" t="n">
        <x:v>3248</x:v>
      </x:c>
      <x:c r="J68" s="274" t="n">
        <x:v>920</x:v>
      </x:c>
      <x:c r="K68" s="274" t="n">
        <x:v>2328</x:v>
      </x:c>
      <x:c r="L68" s="274" t="n">
        <x:v>58</x:v>
      </x:c>
      <x:c r="M68" s="275" t="n">
        <x:v>44592</x:v>
      </x:c>
      <x:c r="N68" s="275" t="n">
        <x:v>46265</x:v>
      </x:c>
      <x:c r="O68" s="274" t="n">
        <x:v>464</x:v>
      </x:c>
      <x:c r="P68" s="274" t="n">
        <x:v>0</x:v>
      </x:c>
      <x:c r="Q68" s="274" t="n">
        <x:v>3190</x:v>
      </x:c>
      <x:c r="R68" s="274" t="n">
        <x:v>672</x:v>
      </x:c>
      <x:c r="S68" s="273" t="str">
        <x:v>cfpb_hmda_modified_lar</x:v>
      </x:c>
    </x:row>
    <x:row r="69" ht="28" customHeight="1">
      <x:c r="A69" s="273" t="str">
        <x:v>hmda_share_downpayment_below_5pct_conventional</x:v>
      </x:c>
      <x:c r="B69" s="273" t="str">
        <x:v>HMDA conventional share below 5% down</x:v>
      </x:c>
      <x:c r="C69" s="273" t="str">
        <x:v>HMDA rates and threshold shares</x:v>
      </x:c>
      <x:c r="D69" s="277" t="str">
        <x:v>A</x:v>
      </x:c>
      <x:c r="E69" s="273" t="str">
        <x:v>hmda_share_downpayment_below_5pct_conventional_benchmark</x:v>
      </x:c>
      <x:c r="F69" s="273" t="str">
        <x:v>ratio</x:v>
      </x:c>
      <x:c r="G69" s="273" t="str">
        <x:v>Partially populated</x:v>
      </x:c>
      <x:c r="H69" s="273" t="str">
        <x:v>Partially populated</x:v>
      </x:c>
      <x:c r="I69" s="274" t="n">
        <x:v>58</x:v>
      </x:c>
      <x:c r="J69" s="274" t="n">
        <x:v>46</x:v>
      </x:c>
      <x:c r="K69" s="274" t="n">
        <x:v>12</x:v>
      </x:c>
      <x:c r="L69" s="274" t="n">
        <x:v>58</x:v>
      </x:c>
      <x:c r="M69" s="275" t="n">
        <x:v>45839</x:v>
      </x:c>
      <x:c r="N69" s="275" t="n">
        <x:v>45839</x:v>
      </x:c>
      <x:c r="O69" s="274" t="n">
        <x:v>0</x:v>
      </x:c>
      <x:c r="P69" s="274" t="n">
        <x:v>0</x:v>
      </x:c>
      <x:c r="Q69" s="274" t="n">
        <x:v>0</x:v>
      </x:c>
      <x:c r="R69" s="274" t="n">
        <x:v>12</x:v>
      </x:c>
      <x:c r="S69" s="273" t="str">
        <x:v>cfpb_hmda_modified_lar</x:v>
      </x:c>
    </x:row>
    <x:row r="70" ht="28" customHeight="1">
      <x:c r="A70" s="273" t="str">
        <x:v>hmda_share_downpayment_below_5pct_conventional</x:v>
      </x:c>
      <x:c r="B70" s="273" t="str">
        <x:v>HMDA conventional share below 5% down</x:v>
      </x:c>
      <x:c r="C70" s="273" t="str">
        <x:v>HMDA rates and threshold shares</x:v>
      </x:c>
      <x:c r="D70" s="279" t="str">
        <x:v>B</x:v>
      </x:c>
      <x:c r="E70" s="273" t="str">
        <x:v>hmda_share_downpayment_below_5pct_conventional_monthly_hist</x:v>
      </x:c>
      <x:c r="F70" s="273" t="str">
        <x:v>share</x:v>
      </x:c>
      <x:c r="G70" s="273" t="str">
        <x:v>canonical_modeled_repeat</x:v>
      </x:c>
      <x:c r="H70" s="273" t="str">
        <x:v>Partially populated</x:v>
      </x:c>
      <x:c r="I70" s="274" t="n">
        <x:v>696</x:v>
      </x:c>
      <x:c r="J70" s="274" t="n">
        <x:v>552</x:v>
      </x:c>
      <x:c r="K70" s="274" t="n">
        <x:v>144</x:v>
      </x:c>
      <x:c r="L70" s="274" t="n">
        <x:v>58</x:v>
      </x:c>
      <x:c r="M70" s="275" t="n">
        <x:v>45688</x:v>
      </x:c>
      <x:c r="N70" s="275" t="n">
        <x:v>46022</x:v>
      </x:c>
      <x:c r="O70" s="274" t="n">
        <x:v>0</x:v>
      </x:c>
      <x:c r="P70" s="274" t="n">
        <x:v>0</x:v>
      </x:c>
      <x:c r="Q70" s="274" t="n">
        <x:v>0</x:v>
      </x:c>
      <x:c r="R70" s="274" t="n">
        <x:v>144</x:v>
      </x:c>
      <x:c r="S70" s="273" t="str">
        <x:v>cfpb_hmda_modified_lar</x:v>
      </x:c>
    </x:row>
    <x:row r="71" ht="28" customHeight="1">
      <x:c r="A71" s="273" t="str">
        <x:v>hmda_share_downpayment_below_5pct_conventional</x:v>
      </x:c>
      <x:c r="B71" s="273" t="str">
        <x:v>HMDA conventional share below 5% down</x:v>
      </x:c>
      <x:c r="C71" s="273" t="str">
        <x:v>HMDA rates and threshold shares</x:v>
      </x:c>
      <x:c r="D71" s="281" t="str">
        <x:v>C</x:v>
      </x:c>
      <x:c r="E71" s="273" t="str">
        <x:v>hmda_share_downpayment_below_5pct_conventional_monthly_rt</x:v>
      </x:c>
      <x:c r="F71" s="273" t="str">
        <x:v>share</x:v>
      </x:c>
      <x:c r="G71" s="273" t="str">
        <x:v>canonical_modeled_carry</x:v>
      </x:c>
      <x:c r="H71" s="273" t="str">
        <x:v>Partially populated</x:v>
      </x:c>
      <x:c r="I71" s="274" t="n">
        <x:v>3248</x:v>
      </x:c>
      <x:c r="J71" s="274" t="n">
        <x:v>920</x:v>
      </x:c>
      <x:c r="K71" s="274" t="n">
        <x:v>2328</x:v>
      </x:c>
      <x:c r="L71" s="274" t="n">
        <x:v>58</x:v>
      </x:c>
      <x:c r="M71" s="275" t="n">
        <x:v>44592</x:v>
      </x:c>
      <x:c r="N71" s="275" t="n">
        <x:v>46265</x:v>
      </x:c>
      <x:c r="O71" s="274" t="n">
        <x:v>464</x:v>
      </x:c>
      <x:c r="P71" s="274" t="n">
        <x:v>0</x:v>
      </x:c>
      <x:c r="Q71" s="274" t="n">
        <x:v>3190</x:v>
      </x:c>
      <x:c r="R71" s="274" t="n">
        <x:v>672</x:v>
      </x:c>
      <x:c r="S71" s="273" t="str">
        <x:v>cfpb_hmda_modified_lar</x:v>
      </x:c>
    </x:row>
    <x:row r="72" ht="28" customHeight="1">
      <x:c r="A72" s="273" t="str">
        <x:v>hmda_share_downpayment_below_10pct_conventional</x:v>
      </x:c>
      <x:c r="B72" s="273" t="str">
        <x:v>HMDA conventional share below 10% down</x:v>
      </x:c>
      <x:c r="C72" s="273" t="str">
        <x:v>HMDA rates and threshold shares</x:v>
      </x:c>
      <x:c r="D72" s="277" t="str">
        <x:v>A</x:v>
      </x:c>
      <x:c r="E72" s="273" t="str">
        <x:v>hmda_share_downpayment_below_10pct_conventional_benchmark</x:v>
      </x:c>
      <x:c r="F72" s="273" t="str">
        <x:v>ratio</x:v>
      </x:c>
      <x:c r="G72" s="273" t="str">
        <x:v>Partially populated</x:v>
      </x:c>
      <x:c r="H72" s="273" t="str">
        <x:v>Partially populated</x:v>
      </x:c>
      <x:c r="I72" s="274" t="n">
        <x:v>58</x:v>
      </x:c>
      <x:c r="J72" s="274" t="n">
        <x:v>46</x:v>
      </x:c>
      <x:c r="K72" s="274" t="n">
        <x:v>12</x:v>
      </x:c>
      <x:c r="L72" s="274" t="n">
        <x:v>58</x:v>
      </x:c>
      <x:c r="M72" s="275" t="n">
        <x:v>45839</x:v>
      </x:c>
      <x:c r="N72" s="275" t="n">
        <x:v>45839</x:v>
      </x:c>
      <x:c r="O72" s="274" t="n">
        <x:v>0</x:v>
      </x:c>
      <x:c r="P72" s="274" t="n">
        <x:v>0</x:v>
      </x:c>
      <x:c r="Q72" s="274" t="n">
        <x:v>0</x:v>
      </x:c>
      <x:c r="R72" s="274" t="n">
        <x:v>12</x:v>
      </x:c>
      <x:c r="S72" s="273" t="str">
        <x:v>cfpb_hmda_modified_lar</x:v>
      </x:c>
    </x:row>
    <x:row r="73" ht="28" customHeight="1">
      <x:c r="A73" s="273" t="str">
        <x:v>hmda_share_downpayment_below_10pct_conventional</x:v>
      </x:c>
      <x:c r="B73" s="273" t="str">
        <x:v>HMDA conventional share below 10% down</x:v>
      </x:c>
      <x:c r="C73" s="273" t="str">
        <x:v>HMDA rates and threshold shares</x:v>
      </x:c>
      <x:c r="D73" s="279" t="str">
        <x:v>B</x:v>
      </x:c>
      <x:c r="E73" s="273" t="str">
        <x:v>hmda_share_downpayment_below_10pct_conventional_monthly_hist</x:v>
      </x:c>
      <x:c r="F73" s="273" t="str">
        <x:v>share</x:v>
      </x:c>
      <x:c r="G73" s="273" t="str">
        <x:v>canonical_modeled_repeat</x:v>
      </x:c>
      <x:c r="H73" s="273" t="str">
        <x:v>Partially populated</x:v>
      </x:c>
      <x:c r="I73" s="274" t="n">
        <x:v>696</x:v>
      </x:c>
      <x:c r="J73" s="274" t="n">
        <x:v>552</x:v>
      </x:c>
      <x:c r="K73" s="274" t="n">
        <x:v>144</x:v>
      </x:c>
      <x:c r="L73" s="274" t="n">
        <x:v>58</x:v>
      </x:c>
      <x:c r="M73" s="275" t="n">
        <x:v>45688</x:v>
      </x:c>
      <x:c r="N73" s="275" t="n">
        <x:v>46022</x:v>
      </x:c>
      <x:c r="O73" s="274" t="n">
        <x:v>0</x:v>
      </x:c>
      <x:c r="P73" s="274" t="n">
        <x:v>0</x:v>
      </x:c>
      <x:c r="Q73" s="274" t="n">
        <x:v>0</x:v>
      </x:c>
      <x:c r="R73" s="274" t="n">
        <x:v>144</x:v>
      </x:c>
      <x:c r="S73" s="273" t="str">
        <x:v>cfpb_hmda_modified_lar</x:v>
      </x:c>
    </x:row>
    <x:row r="74" ht="28" customHeight="1">
      <x:c r="A74" s="273" t="str">
        <x:v>hmda_share_downpayment_below_10pct_conventional</x:v>
      </x:c>
      <x:c r="B74" s="273" t="str">
        <x:v>HMDA conventional share below 10% down</x:v>
      </x:c>
      <x:c r="C74" s="273" t="str">
        <x:v>HMDA rates and threshold shares</x:v>
      </x:c>
      <x:c r="D74" s="281" t="str">
        <x:v>C</x:v>
      </x:c>
      <x:c r="E74" s="273" t="str">
        <x:v>hmda_share_downpayment_below_10pct_conventional_monthly_rt</x:v>
      </x:c>
      <x:c r="F74" s="273" t="str">
        <x:v>share</x:v>
      </x:c>
      <x:c r="G74" s="273" t="str">
        <x:v>canonical_modeled_carry</x:v>
      </x:c>
      <x:c r="H74" s="273" t="str">
        <x:v>Partially populated</x:v>
      </x:c>
      <x:c r="I74" s="274" t="n">
        <x:v>3248</x:v>
      </x:c>
      <x:c r="J74" s="274" t="n">
        <x:v>920</x:v>
      </x:c>
      <x:c r="K74" s="274" t="n">
        <x:v>2328</x:v>
      </x:c>
      <x:c r="L74" s="274" t="n">
        <x:v>58</x:v>
      </x:c>
      <x:c r="M74" s="275" t="n">
        <x:v>44592</x:v>
      </x:c>
      <x:c r="N74" s="275" t="n">
        <x:v>46265</x:v>
      </x:c>
      <x:c r="O74" s="274" t="n">
        <x:v>464</x:v>
      </x:c>
      <x:c r="P74" s="274" t="n">
        <x:v>0</x:v>
      </x:c>
      <x:c r="Q74" s="274" t="n">
        <x:v>3190</x:v>
      </x:c>
      <x:c r="R74" s="274" t="n">
        <x:v>672</x:v>
      </x:c>
      <x:c r="S74" s="273" t="str">
        <x:v>cfpb_hmda_modified_lar</x:v>
      </x:c>
    </x:row>
    <x:row r="75" ht="28" customHeight="1">
      <x:c r="A75" s="273" t="str">
        <x:v>hmda_share_downpayment_below_20pct_conventional</x:v>
      </x:c>
      <x:c r="B75" s="273" t="str">
        <x:v>HMDA conventional share below 20% down</x:v>
      </x:c>
      <x:c r="C75" s="273" t="str">
        <x:v>HMDA rates and threshold shares</x:v>
      </x:c>
      <x:c r="D75" s="277" t="str">
        <x:v>A</x:v>
      </x:c>
      <x:c r="E75" s="273" t="str">
        <x:v>hmda_share_downpayment_below_20pct_conventional_benchmark</x:v>
      </x:c>
      <x:c r="F75" s="273" t="str">
        <x:v>ratio</x:v>
      </x:c>
      <x:c r="G75" s="273" t="str">
        <x:v>Partially populated</x:v>
      </x:c>
      <x:c r="H75" s="273" t="str">
        <x:v>Partially populated</x:v>
      </x:c>
      <x:c r="I75" s="274" t="n">
        <x:v>58</x:v>
      </x:c>
      <x:c r="J75" s="274" t="n">
        <x:v>46</x:v>
      </x:c>
      <x:c r="K75" s="274" t="n">
        <x:v>12</x:v>
      </x:c>
      <x:c r="L75" s="274" t="n">
        <x:v>58</x:v>
      </x:c>
      <x:c r="M75" s="275" t="n">
        <x:v>45839</x:v>
      </x:c>
      <x:c r="N75" s="275" t="n">
        <x:v>45839</x:v>
      </x:c>
      <x:c r="O75" s="274" t="n">
        <x:v>0</x:v>
      </x:c>
      <x:c r="P75" s="274" t="n">
        <x:v>0</x:v>
      </x:c>
      <x:c r="Q75" s="274" t="n">
        <x:v>0</x:v>
      </x:c>
      <x:c r="R75" s="274" t="n">
        <x:v>12</x:v>
      </x:c>
      <x:c r="S75" s="273" t="str">
        <x:v>cfpb_hmda_modified_lar</x:v>
      </x:c>
    </x:row>
    <x:row r="76" ht="28" customHeight="1">
      <x:c r="A76" s="273" t="str">
        <x:v>hmda_share_downpayment_below_20pct_conventional</x:v>
      </x:c>
      <x:c r="B76" s="273" t="str">
        <x:v>HMDA conventional share below 20% down</x:v>
      </x:c>
      <x:c r="C76" s="273" t="str">
        <x:v>HMDA rates and threshold shares</x:v>
      </x:c>
      <x:c r="D76" s="279" t="str">
        <x:v>B</x:v>
      </x:c>
      <x:c r="E76" s="273" t="str">
        <x:v>hmda_share_downpayment_below_20pct_conventional_monthly_hist</x:v>
      </x:c>
      <x:c r="F76" s="273" t="str">
        <x:v>share</x:v>
      </x:c>
      <x:c r="G76" s="273" t="str">
        <x:v>canonical_modeled_repeat</x:v>
      </x:c>
      <x:c r="H76" s="273" t="str">
        <x:v>Partially populated</x:v>
      </x:c>
      <x:c r="I76" s="274" t="n">
        <x:v>696</x:v>
      </x:c>
      <x:c r="J76" s="274" t="n">
        <x:v>552</x:v>
      </x:c>
      <x:c r="K76" s="274" t="n">
        <x:v>144</x:v>
      </x:c>
      <x:c r="L76" s="274" t="n">
        <x:v>58</x:v>
      </x:c>
      <x:c r="M76" s="275" t="n">
        <x:v>45688</x:v>
      </x:c>
      <x:c r="N76" s="275" t="n">
        <x:v>46022</x:v>
      </x:c>
      <x:c r="O76" s="274" t="n">
        <x:v>0</x:v>
      </x:c>
      <x:c r="P76" s="274" t="n">
        <x:v>0</x:v>
      </x:c>
      <x:c r="Q76" s="274" t="n">
        <x:v>0</x:v>
      </x:c>
      <x:c r="R76" s="274" t="n">
        <x:v>144</x:v>
      </x:c>
      <x:c r="S76" s="273" t="str">
        <x:v>cfpb_hmda_modified_lar</x:v>
      </x:c>
    </x:row>
    <x:row r="77" ht="28" customHeight="1">
      <x:c r="A77" s="273" t="str">
        <x:v>hmda_share_downpayment_below_20pct_conventional</x:v>
      </x:c>
      <x:c r="B77" s="273" t="str">
        <x:v>HMDA conventional share below 20% down</x:v>
      </x:c>
      <x:c r="C77" s="273" t="str">
        <x:v>HMDA rates and threshold shares</x:v>
      </x:c>
      <x:c r="D77" s="281" t="str">
        <x:v>C</x:v>
      </x:c>
      <x:c r="E77" s="273" t="str">
        <x:v>hmda_share_downpayment_below_20pct_conventional_monthly_rt</x:v>
      </x:c>
      <x:c r="F77" s="273" t="str">
        <x:v>share</x:v>
      </x:c>
      <x:c r="G77" s="273" t="str">
        <x:v>canonical_modeled_carry</x:v>
      </x:c>
      <x:c r="H77" s="273" t="str">
        <x:v>Partially populated</x:v>
      </x:c>
      <x:c r="I77" s="274" t="n">
        <x:v>3248</x:v>
      </x:c>
      <x:c r="J77" s="274" t="n">
        <x:v>920</x:v>
      </x:c>
      <x:c r="K77" s="274" t="n">
        <x:v>2328</x:v>
      </x:c>
      <x:c r="L77" s="274" t="n">
        <x:v>58</x:v>
      </x:c>
      <x:c r="M77" s="275" t="n">
        <x:v>44592</x:v>
      </x:c>
      <x:c r="N77" s="275" t="n">
        <x:v>46265</x:v>
      </x:c>
      <x:c r="O77" s="274" t="n">
        <x:v>464</x:v>
      </x:c>
      <x:c r="P77" s="274" t="n">
        <x:v>0</x:v>
      </x:c>
      <x:c r="Q77" s="274" t="n">
        <x:v>3190</x:v>
      </x:c>
      <x:c r="R77" s="274" t="n">
        <x:v>672</x:v>
      </x:c>
      <x:c r="S77" s="273" t="str">
        <x:v>cfpb_hmda_modified_lar</x:v>
      </x:c>
    </x:row>
    <x:row r="78" ht="28" customHeight="1">
      <x:c r="A78" s="273" t="str">
        <x:v>hmda_share_downpayment_below_3pct_fha</x:v>
      </x:c>
      <x:c r="B78" s="273" t="str">
        <x:v>HMDA FHA share below 3% down</x:v>
      </x:c>
      <x:c r="C78" s="273" t="str">
        <x:v>HMDA rates and threshold shares</x:v>
      </x:c>
      <x:c r="D78" s="277" t="str">
        <x:v>A</x:v>
      </x:c>
      <x:c r="E78" s="273" t="str">
        <x:v>hmda_share_downpayment_below_3pct_fha_benchmark</x:v>
      </x:c>
      <x:c r="F78" s="273" t="str">
        <x:v>ratio</x:v>
      </x:c>
      <x:c r="G78" s="273" t="str">
        <x:v>Partially populated</x:v>
      </x:c>
      <x:c r="H78" s="273" t="str">
        <x:v>Partially populated</x:v>
      </x:c>
      <x:c r="I78" s="274" t="n">
        <x:v>58</x:v>
      </x:c>
      <x:c r="J78" s="274" t="n">
        <x:v>39</x:v>
      </x:c>
      <x:c r="K78" s="274" t="n">
        <x:v>19</x:v>
      </x:c>
      <x:c r="L78" s="274" t="n">
        <x:v>58</x:v>
      </x:c>
      <x:c r="M78" s="275" t="n">
        <x:v>45839</x:v>
      </x:c>
      <x:c r="N78" s="275" t="n">
        <x:v>45839</x:v>
      </x:c>
      <x:c r="O78" s="274" t="n">
        <x:v>0</x:v>
      </x:c>
      <x:c r="P78" s="274" t="n">
        <x:v>0</x:v>
      </x:c>
      <x:c r="Q78" s="274" t="n">
        <x:v>0</x:v>
      </x:c>
      <x:c r="R78" s="274" t="n">
        <x:v>19</x:v>
      </x:c>
      <x:c r="S78" s="273" t="str">
        <x:v>cfpb_hmda_modified_lar</x:v>
      </x:c>
    </x:row>
    <x:row r="79" ht="28" customHeight="1">
      <x:c r="A79" s="273" t="str">
        <x:v>hmda_share_downpayment_below_3pct_fha</x:v>
      </x:c>
      <x:c r="B79" s="273" t="str">
        <x:v>HMDA FHA share below 3% down</x:v>
      </x:c>
      <x:c r="C79" s="273" t="str">
        <x:v>HMDA rates and threshold shares</x:v>
      </x:c>
      <x:c r="D79" s="279" t="str">
        <x:v>B</x:v>
      </x:c>
      <x:c r="E79" s="273" t="str">
        <x:v>hmda_share_downpayment_below_3pct_fha_monthly_hist</x:v>
      </x:c>
      <x:c r="F79" s="273" t="str">
        <x:v>share</x:v>
      </x:c>
      <x:c r="G79" s="273" t="str">
        <x:v>canonical_modeled_repeat</x:v>
      </x:c>
      <x:c r="H79" s="273" t="str">
        <x:v>Partially populated</x:v>
      </x:c>
      <x:c r="I79" s="274" t="n">
        <x:v>696</x:v>
      </x:c>
      <x:c r="J79" s="274" t="n">
        <x:v>468</x:v>
      </x:c>
      <x:c r="K79" s="274" t="n">
        <x:v>228</x:v>
      </x:c>
      <x:c r="L79" s="274" t="n">
        <x:v>58</x:v>
      </x:c>
      <x:c r="M79" s="275" t="n">
        <x:v>45688</x:v>
      </x:c>
      <x:c r="N79" s="275" t="n">
        <x:v>46022</x:v>
      </x:c>
      <x:c r="O79" s="274" t="n">
        <x:v>0</x:v>
      </x:c>
      <x:c r="P79" s="274" t="n">
        <x:v>0</x:v>
      </x:c>
      <x:c r="Q79" s="274" t="n">
        <x:v>0</x:v>
      </x:c>
      <x:c r="R79" s="274" t="n">
        <x:v>228</x:v>
      </x:c>
      <x:c r="S79" s="273" t="str">
        <x:v>cfpb_hmda_modified_lar</x:v>
      </x:c>
    </x:row>
    <x:row r="80" ht="28" customHeight="1">
      <x:c r="A80" s="273" t="str">
        <x:v>hmda_share_downpayment_below_3pct_fha</x:v>
      </x:c>
      <x:c r="B80" s="273" t="str">
        <x:v>HMDA FHA share below 3% down</x:v>
      </x:c>
      <x:c r="C80" s="273" t="str">
        <x:v>HMDA rates and threshold shares</x:v>
      </x:c>
      <x:c r="D80" s="281" t="str">
        <x:v>C</x:v>
      </x:c>
      <x:c r="E80" s="273" t="str">
        <x:v>hmda_share_downpayment_below_3pct_fha_monthly_rt</x:v>
      </x:c>
      <x:c r="F80" s="273" t="str">
        <x:v>share</x:v>
      </x:c>
      <x:c r="G80" s="273" t="str">
        <x:v>canonical_modeled_carry</x:v>
      </x:c>
      <x:c r="H80" s="273" t="str">
        <x:v>Partially populated</x:v>
      </x:c>
      <x:c r="I80" s="274" t="n">
        <x:v>3248</x:v>
      </x:c>
      <x:c r="J80" s="274" t="n">
        <x:v>780</x:v>
      </x:c>
      <x:c r="K80" s="274" t="n">
        <x:v>2468</x:v>
      </x:c>
      <x:c r="L80" s="274" t="n">
        <x:v>58</x:v>
      </x:c>
      <x:c r="M80" s="275" t="n">
        <x:v>44592</x:v>
      </x:c>
      <x:c r="N80" s="275" t="n">
        <x:v>46265</x:v>
      </x:c>
      <x:c r="O80" s="274" t="n">
        <x:v>464</x:v>
      </x:c>
      <x:c r="P80" s="274" t="n">
        <x:v>0</x:v>
      </x:c>
      <x:c r="Q80" s="274" t="n">
        <x:v>3190</x:v>
      </x:c>
      <x:c r="R80" s="274" t="n">
        <x:v>1064</x:v>
      </x:c>
      <x:c r="S80" s="273" t="str">
        <x:v>cfpb_hmda_modified_lar</x:v>
      </x:c>
    </x:row>
    <x:row r="81" ht="28" customHeight="1">
      <x:c r="A81" s="273" t="str">
        <x:v>hmda_share_downpayment_below_5pct_fha</x:v>
      </x:c>
      <x:c r="B81" s="273" t="str">
        <x:v>HMDA FHA share below 5% down</x:v>
      </x:c>
      <x:c r="C81" s="273" t="str">
        <x:v>HMDA rates and threshold shares</x:v>
      </x:c>
      <x:c r="D81" s="277" t="str">
        <x:v>A</x:v>
      </x:c>
      <x:c r="E81" s="273" t="str">
        <x:v>hmda_share_downpayment_below_5pct_fha_benchmark</x:v>
      </x:c>
      <x:c r="F81" s="273" t="str">
        <x:v>ratio</x:v>
      </x:c>
      <x:c r="G81" s="273" t="str">
        <x:v>Partially populated</x:v>
      </x:c>
      <x:c r="H81" s="273" t="str">
        <x:v>Partially populated</x:v>
      </x:c>
      <x:c r="I81" s="274" t="n">
        <x:v>58</x:v>
      </x:c>
      <x:c r="J81" s="274" t="n">
        <x:v>39</x:v>
      </x:c>
      <x:c r="K81" s="274" t="n">
        <x:v>19</x:v>
      </x:c>
      <x:c r="L81" s="274" t="n">
        <x:v>58</x:v>
      </x:c>
      <x:c r="M81" s="275" t="n">
        <x:v>45839</x:v>
      </x:c>
      <x:c r="N81" s="275" t="n">
        <x:v>45839</x:v>
      </x:c>
      <x:c r="O81" s="274" t="n">
        <x:v>0</x:v>
      </x:c>
      <x:c r="P81" s="274" t="n">
        <x:v>0</x:v>
      </x:c>
      <x:c r="Q81" s="274" t="n">
        <x:v>0</x:v>
      </x:c>
      <x:c r="R81" s="274" t="n">
        <x:v>19</x:v>
      </x:c>
      <x:c r="S81" s="273" t="str">
        <x:v>cfpb_hmda_modified_lar</x:v>
      </x:c>
    </x:row>
    <x:row r="82" ht="28" customHeight="1">
      <x:c r="A82" s="273" t="str">
        <x:v>hmda_share_downpayment_below_5pct_fha</x:v>
      </x:c>
      <x:c r="B82" s="273" t="str">
        <x:v>HMDA FHA share below 5% down</x:v>
      </x:c>
      <x:c r="C82" s="273" t="str">
        <x:v>HMDA rates and threshold shares</x:v>
      </x:c>
      <x:c r="D82" s="279" t="str">
        <x:v>B</x:v>
      </x:c>
      <x:c r="E82" s="273" t="str">
        <x:v>hmda_share_downpayment_below_5pct_fha_monthly_hist</x:v>
      </x:c>
      <x:c r="F82" s="273" t="str">
        <x:v>share</x:v>
      </x:c>
      <x:c r="G82" s="273" t="str">
        <x:v>canonical_modeled_repeat</x:v>
      </x:c>
      <x:c r="H82" s="273" t="str">
        <x:v>Partially populated</x:v>
      </x:c>
      <x:c r="I82" s="274" t="n">
        <x:v>696</x:v>
      </x:c>
      <x:c r="J82" s="274" t="n">
        <x:v>468</x:v>
      </x:c>
      <x:c r="K82" s="274" t="n">
        <x:v>228</x:v>
      </x:c>
      <x:c r="L82" s="274" t="n">
        <x:v>58</x:v>
      </x:c>
      <x:c r="M82" s="275" t="n">
        <x:v>45688</x:v>
      </x:c>
      <x:c r="N82" s="275" t="n">
        <x:v>46022</x:v>
      </x:c>
      <x:c r="O82" s="274" t="n">
        <x:v>0</x:v>
      </x:c>
      <x:c r="P82" s="274" t="n">
        <x:v>0</x:v>
      </x:c>
      <x:c r="Q82" s="274" t="n">
        <x:v>0</x:v>
      </x:c>
      <x:c r="R82" s="274" t="n">
        <x:v>228</x:v>
      </x:c>
      <x:c r="S82" s="273" t="str">
        <x:v>cfpb_hmda_modified_lar</x:v>
      </x:c>
    </x:row>
    <x:row r="83" ht="28" customHeight="1">
      <x:c r="A83" s="273" t="str">
        <x:v>hmda_share_downpayment_below_5pct_fha</x:v>
      </x:c>
      <x:c r="B83" s="273" t="str">
        <x:v>HMDA FHA share below 5% down</x:v>
      </x:c>
      <x:c r="C83" s="273" t="str">
        <x:v>HMDA rates and threshold shares</x:v>
      </x:c>
      <x:c r="D83" s="281" t="str">
        <x:v>C</x:v>
      </x:c>
      <x:c r="E83" s="273" t="str">
        <x:v>hmda_share_downpayment_below_5pct_fha_monthly_rt</x:v>
      </x:c>
      <x:c r="F83" s="273" t="str">
        <x:v>share</x:v>
      </x:c>
      <x:c r="G83" s="273" t="str">
        <x:v>canonical_modeled_carry</x:v>
      </x:c>
      <x:c r="H83" s="273" t="str">
        <x:v>Partially populated</x:v>
      </x:c>
      <x:c r="I83" s="274" t="n">
        <x:v>3248</x:v>
      </x:c>
      <x:c r="J83" s="274" t="n">
        <x:v>780</x:v>
      </x:c>
      <x:c r="K83" s="274" t="n">
        <x:v>2468</x:v>
      </x:c>
      <x:c r="L83" s="274" t="n">
        <x:v>58</x:v>
      </x:c>
      <x:c r="M83" s="275" t="n">
        <x:v>44592</x:v>
      </x:c>
      <x:c r="N83" s="275" t="n">
        <x:v>46265</x:v>
      </x:c>
      <x:c r="O83" s="274" t="n">
        <x:v>464</x:v>
      </x:c>
      <x:c r="P83" s="274" t="n">
        <x:v>0</x:v>
      </x:c>
      <x:c r="Q83" s="274" t="n">
        <x:v>3190</x:v>
      </x:c>
      <x:c r="R83" s="274" t="n">
        <x:v>1064</x:v>
      </x:c>
      <x:c r="S83" s="273" t="str">
        <x:v>cfpb_hmda_modified_lar</x:v>
      </x:c>
    </x:row>
    <x:row r="84" ht="28" customHeight="1">
      <x:c r="A84" s="273" t="str">
        <x:v>hmda_share_downpayment_below_10pct_fha</x:v>
      </x:c>
      <x:c r="B84" s="273" t="str">
        <x:v>HMDA FHA share below 10% down</x:v>
      </x:c>
      <x:c r="C84" s="273" t="str">
        <x:v>HMDA rates and threshold shares</x:v>
      </x:c>
      <x:c r="D84" s="277" t="str">
        <x:v>A</x:v>
      </x:c>
      <x:c r="E84" s="273" t="str">
        <x:v>hmda_share_downpayment_below_10pct_fha_benchmark</x:v>
      </x:c>
      <x:c r="F84" s="273" t="str">
        <x:v>ratio</x:v>
      </x:c>
      <x:c r="G84" s="273" t="str">
        <x:v>Partially populated</x:v>
      </x:c>
      <x:c r="H84" s="273" t="str">
        <x:v>Partially populated</x:v>
      </x:c>
      <x:c r="I84" s="274" t="n">
        <x:v>58</x:v>
      </x:c>
      <x:c r="J84" s="274" t="n">
        <x:v>39</x:v>
      </x:c>
      <x:c r="K84" s="274" t="n">
        <x:v>19</x:v>
      </x:c>
      <x:c r="L84" s="274" t="n">
        <x:v>58</x:v>
      </x:c>
      <x:c r="M84" s="275" t="n">
        <x:v>45839</x:v>
      </x:c>
      <x:c r="N84" s="275" t="n">
        <x:v>45839</x:v>
      </x:c>
      <x:c r="O84" s="274" t="n">
        <x:v>0</x:v>
      </x:c>
      <x:c r="P84" s="274" t="n">
        <x:v>0</x:v>
      </x:c>
      <x:c r="Q84" s="274" t="n">
        <x:v>0</x:v>
      </x:c>
      <x:c r="R84" s="274" t="n">
        <x:v>19</x:v>
      </x:c>
      <x:c r="S84" s="273" t="str">
        <x:v>cfpb_hmda_modified_lar</x:v>
      </x:c>
    </x:row>
    <x:row r="85" ht="28" customHeight="1">
      <x:c r="A85" s="273" t="str">
        <x:v>hmda_share_downpayment_below_10pct_fha</x:v>
      </x:c>
      <x:c r="B85" s="273" t="str">
        <x:v>HMDA FHA share below 10% down</x:v>
      </x:c>
      <x:c r="C85" s="273" t="str">
        <x:v>HMDA rates and threshold shares</x:v>
      </x:c>
      <x:c r="D85" s="279" t="str">
        <x:v>B</x:v>
      </x:c>
      <x:c r="E85" s="273" t="str">
        <x:v>hmda_share_downpayment_below_10pct_fha_monthly_hist</x:v>
      </x:c>
      <x:c r="F85" s="273" t="str">
        <x:v>share</x:v>
      </x:c>
      <x:c r="G85" s="273" t="str">
        <x:v>canonical_modeled_repeat</x:v>
      </x:c>
      <x:c r="H85" s="273" t="str">
        <x:v>Partially populated</x:v>
      </x:c>
      <x:c r="I85" s="274" t="n">
        <x:v>696</x:v>
      </x:c>
      <x:c r="J85" s="274" t="n">
        <x:v>468</x:v>
      </x:c>
      <x:c r="K85" s="274" t="n">
        <x:v>228</x:v>
      </x:c>
      <x:c r="L85" s="274" t="n">
        <x:v>58</x:v>
      </x:c>
      <x:c r="M85" s="275" t="n">
        <x:v>45688</x:v>
      </x:c>
      <x:c r="N85" s="275" t="n">
        <x:v>46022</x:v>
      </x:c>
      <x:c r="O85" s="274" t="n">
        <x:v>0</x:v>
      </x:c>
      <x:c r="P85" s="274" t="n">
        <x:v>0</x:v>
      </x:c>
      <x:c r="Q85" s="274" t="n">
        <x:v>0</x:v>
      </x:c>
      <x:c r="R85" s="274" t="n">
        <x:v>228</x:v>
      </x:c>
      <x:c r="S85" s="273" t="str">
        <x:v>cfpb_hmda_modified_lar</x:v>
      </x:c>
    </x:row>
    <x:row r="86" ht="28" customHeight="1">
      <x:c r="A86" s="273" t="str">
        <x:v>hmda_share_downpayment_below_10pct_fha</x:v>
      </x:c>
      <x:c r="B86" s="273" t="str">
        <x:v>HMDA FHA share below 10% down</x:v>
      </x:c>
      <x:c r="C86" s="273" t="str">
        <x:v>HMDA rates and threshold shares</x:v>
      </x:c>
      <x:c r="D86" s="281" t="str">
        <x:v>C</x:v>
      </x:c>
      <x:c r="E86" s="273" t="str">
        <x:v>hmda_share_downpayment_below_10pct_fha_monthly_rt</x:v>
      </x:c>
      <x:c r="F86" s="273" t="str">
        <x:v>share</x:v>
      </x:c>
      <x:c r="G86" s="273" t="str">
        <x:v>canonical_modeled_carry</x:v>
      </x:c>
      <x:c r="H86" s="273" t="str">
        <x:v>Partially populated</x:v>
      </x:c>
      <x:c r="I86" s="274" t="n">
        <x:v>3248</x:v>
      </x:c>
      <x:c r="J86" s="274" t="n">
        <x:v>780</x:v>
      </x:c>
      <x:c r="K86" s="274" t="n">
        <x:v>2468</x:v>
      </x:c>
      <x:c r="L86" s="274" t="n">
        <x:v>58</x:v>
      </x:c>
      <x:c r="M86" s="275" t="n">
        <x:v>44592</x:v>
      </x:c>
      <x:c r="N86" s="275" t="n">
        <x:v>46265</x:v>
      </x:c>
      <x:c r="O86" s="274" t="n">
        <x:v>464</x:v>
      </x:c>
      <x:c r="P86" s="274" t="n">
        <x:v>0</x:v>
      </x:c>
      <x:c r="Q86" s="274" t="n">
        <x:v>3190</x:v>
      </x:c>
      <x:c r="R86" s="274" t="n">
        <x:v>1064</x:v>
      </x:c>
      <x:c r="S86" s="273" t="str">
        <x:v>cfpb_hmda_modified_lar</x:v>
      </x:c>
    </x:row>
    <x:row r="87" ht="28" customHeight="1">
      <x:c r="A87" s="273" t="str">
        <x:v>hmda_share_downpayment_below_20pct_fha</x:v>
      </x:c>
      <x:c r="B87" s="273" t="str">
        <x:v>HMDA FHA share below 20% down</x:v>
      </x:c>
      <x:c r="C87" s="273" t="str">
        <x:v>HMDA rates and threshold shares</x:v>
      </x:c>
      <x:c r="D87" s="277" t="str">
        <x:v>A</x:v>
      </x:c>
      <x:c r="E87" s="273" t="str">
        <x:v>hmda_share_downpayment_below_20pct_fha_benchmark</x:v>
      </x:c>
      <x:c r="F87" s="273" t="str">
        <x:v>ratio</x:v>
      </x:c>
      <x:c r="G87" s="273" t="str">
        <x:v>Partially populated</x:v>
      </x:c>
      <x:c r="H87" s="273" t="str">
        <x:v>Partially populated</x:v>
      </x:c>
      <x:c r="I87" s="274" t="n">
        <x:v>58</x:v>
      </x:c>
      <x:c r="J87" s="274" t="n">
        <x:v>39</x:v>
      </x:c>
      <x:c r="K87" s="274" t="n">
        <x:v>19</x:v>
      </x:c>
      <x:c r="L87" s="274" t="n">
        <x:v>58</x:v>
      </x:c>
      <x:c r="M87" s="275" t="n">
        <x:v>45839</x:v>
      </x:c>
      <x:c r="N87" s="275" t="n">
        <x:v>45839</x:v>
      </x:c>
      <x:c r="O87" s="274" t="n">
        <x:v>0</x:v>
      </x:c>
      <x:c r="P87" s="274" t="n">
        <x:v>0</x:v>
      </x:c>
      <x:c r="Q87" s="274" t="n">
        <x:v>0</x:v>
      </x:c>
      <x:c r="R87" s="274" t="n">
        <x:v>19</x:v>
      </x:c>
      <x:c r="S87" s="273" t="str">
        <x:v>cfpb_hmda_modified_lar</x:v>
      </x:c>
    </x:row>
    <x:row r="88" ht="28" customHeight="1">
      <x:c r="A88" s="273" t="str">
        <x:v>hmda_share_downpayment_below_20pct_fha</x:v>
      </x:c>
      <x:c r="B88" s="273" t="str">
        <x:v>HMDA FHA share below 20% down</x:v>
      </x:c>
      <x:c r="C88" s="273" t="str">
        <x:v>HMDA rates and threshold shares</x:v>
      </x:c>
      <x:c r="D88" s="279" t="str">
        <x:v>B</x:v>
      </x:c>
      <x:c r="E88" s="273" t="str">
        <x:v>hmda_share_downpayment_below_20pct_fha_monthly_hist</x:v>
      </x:c>
      <x:c r="F88" s="273" t="str">
        <x:v>share</x:v>
      </x:c>
      <x:c r="G88" s="273" t="str">
        <x:v>canonical_modeled_repeat</x:v>
      </x:c>
      <x:c r="H88" s="273" t="str">
        <x:v>Partially populated</x:v>
      </x:c>
      <x:c r="I88" s="274" t="n">
        <x:v>696</x:v>
      </x:c>
      <x:c r="J88" s="274" t="n">
        <x:v>468</x:v>
      </x:c>
      <x:c r="K88" s="274" t="n">
        <x:v>228</x:v>
      </x:c>
      <x:c r="L88" s="274" t="n">
        <x:v>58</x:v>
      </x:c>
      <x:c r="M88" s="275" t="n">
        <x:v>45688</x:v>
      </x:c>
      <x:c r="N88" s="275" t="n">
        <x:v>46022</x:v>
      </x:c>
      <x:c r="O88" s="274" t="n">
        <x:v>0</x:v>
      </x:c>
      <x:c r="P88" s="274" t="n">
        <x:v>0</x:v>
      </x:c>
      <x:c r="Q88" s="274" t="n">
        <x:v>0</x:v>
      </x:c>
      <x:c r="R88" s="274" t="n">
        <x:v>228</x:v>
      </x:c>
      <x:c r="S88" s="273" t="str">
        <x:v>cfpb_hmda_modified_lar</x:v>
      </x:c>
    </x:row>
    <x:row r="89" ht="28" customHeight="1">
      <x:c r="A89" s="273" t="str">
        <x:v>hmda_share_downpayment_below_20pct_fha</x:v>
      </x:c>
      <x:c r="B89" s="273" t="str">
        <x:v>HMDA FHA share below 20% down</x:v>
      </x:c>
      <x:c r="C89" s="273" t="str">
        <x:v>HMDA rates and threshold shares</x:v>
      </x:c>
      <x:c r="D89" s="281" t="str">
        <x:v>C</x:v>
      </x:c>
      <x:c r="E89" s="273" t="str">
        <x:v>hmda_share_downpayment_below_20pct_fha_monthly_rt</x:v>
      </x:c>
      <x:c r="F89" s="273" t="str">
        <x:v>share</x:v>
      </x:c>
      <x:c r="G89" s="273" t="str">
        <x:v>canonical_modeled_carry</x:v>
      </x:c>
      <x:c r="H89" s="273" t="str">
        <x:v>Partially populated</x:v>
      </x:c>
      <x:c r="I89" s="274" t="n">
        <x:v>3248</x:v>
      </x:c>
      <x:c r="J89" s="274" t="n">
        <x:v>780</x:v>
      </x:c>
      <x:c r="K89" s="274" t="n">
        <x:v>2468</x:v>
      </x:c>
      <x:c r="L89" s="274" t="n">
        <x:v>58</x:v>
      </x:c>
      <x:c r="M89" s="275" t="n">
        <x:v>44592</x:v>
      </x:c>
      <x:c r="N89" s="275" t="n">
        <x:v>46265</x:v>
      </x:c>
      <x:c r="O89" s="274" t="n">
        <x:v>464</x:v>
      </x:c>
      <x:c r="P89" s="274" t="n">
        <x:v>0</x:v>
      </x:c>
      <x:c r="Q89" s="274" t="n">
        <x:v>3190</x:v>
      </x:c>
      <x:c r="R89" s="274" t="n">
        <x:v>1064</x:v>
      </x:c>
      <x:c r="S89" s="273" t="str">
        <x:v>cfpb_hmda_modified_lar</x:v>
      </x:c>
    </x:row>
    <x:row r="90" ht="28" customHeight="1">
      <x:c r="A90" s="273" t="str">
        <x:v>hmda_share_downpayment_below_3pct_va</x:v>
      </x:c>
      <x:c r="B90" s="273" t="str">
        <x:v>HMDA VA share below 3% down</x:v>
      </x:c>
      <x:c r="C90" s="273" t="str">
        <x:v>HMDA rates and threshold shares</x:v>
      </x:c>
      <x:c r="D90" s="277" t="str">
        <x:v>A</x:v>
      </x:c>
      <x:c r="E90" s="273" t="str">
        <x:v>hmda_share_downpayment_below_3pct_va_benchmark</x:v>
      </x:c>
      <x:c r="F90" s="273" t="str">
        <x:v>ratio</x:v>
      </x:c>
      <x:c r="G90" s="273" t="str">
        <x:v>Partially populated</x:v>
      </x:c>
      <x:c r="H90" s="273" t="str">
        <x:v>Partially populated</x:v>
      </x:c>
      <x:c r="I90" s="274" t="n">
        <x:v>58</x:v>
      </x:c>
      <x:c r="J90" s="274" t="n">
        <x:v>23</x:v>
      </x:c>
      <x:c r="K90" s="274" t="n">
        <x:v>35</x:v>
      </x:c>
      <x:c r="L90" s="274" t="n">
        <x:v>58</x:v>
      </x:c>
      <x:c r="M90" s="275" t="n">
        <x:v>45839</x:v>
      </x:c>
      <x:c r="N90" s="275" t="n">
        <x:v>45839</x:v>
      </x:c>
      <x:c r="O90" s="274" t="n">
        <x:v>0</x:v>
      </x:c>
      <x:c r="P90" s="274" t="n">
        <x:v>0</x:v>
      </x:c>
      <x:c r="Q90" s="274" t="n">
        <x:v>0</x:v>
      </x:c>
      <x:c r="R90" s="274" t="n">
        <x:v>35</x:v>
      </x:c>
      <x:c r="S90" s="273" t="str">
        <x:v>cfpb_hmda_modified_lar</x:v>
      </x:c>
    </x:row>
    <x:row r="91" ht="28" customHeight="1">
      <x:c r="A91" s="273" t="str">
        <x:v>hmda_share_downpayment_below_3pct_va</x:v>
      </x:c>
      <x:c r="B91" s="273" t="str">
        <x:v>HMDA VA share below 3% down</x:v>
      </x:c>
      <x:c r="C91" s="273" t="str">
        <x:v>HMDA rates and threshold shares</x:v>
      </x:c>
      <x:c r="D91" s="279" t="str">
        <x:v>B</x:v>
      </x:c>
      <x:c r="E91" s="273" t="str">
        <x:v>hmda_share_downpayment_below_3pct_va_monthly_hist</x:v>
      </x:c>
      <x:c r="F91" s="273" t="str">
        <x:v>share</x:v>
      </x:c>
      <x:c r="G91" s="273" t="str">
        <x:v>canonical_modeled_repeat</x:v>
      </x:c>
      <x:c r="H91" s="273" t="str">
        <x:v>Partially populated</x:v>
      </x:c>
      <x:c r="I91" s="274" t="n">
        <x:v>696</x:v>
      </x:c>
      <x:c r="J91" s="274" t="n">
        <x:v>276</x:v>
      </x:c>
      <x:c r="K91" s="274" t="n">
        <x:v>420</x:v>
      </x:c>
      <x:c r="L91" s="274" t="n">
        <x:v>58</x:v>
      </x:c>
      <x:c r="M91" s="275" t="n">
        <x:v>45688</x:v>
      </x:c>
      <x:c r="N91" s="275" t="n">
        <x:v>46022</x:v>
      </x:c>
      <x:c r="O91" s="274" t="n">
        <x:v>0</x:v>
      </x:c>
      <x:c r="P91" s="274" t="n">
        <x:v>0</x:v>
      </x:c>
      <x:c r="Q91" s="274" t="n">
        <x:v>0</x:v>
      </x:c>
      <x:c r="R91" s="274" t="n">
        <x:v>420</x:v>
      </x:c>
      <x:c r="S91" s="273" t="str">
        <x:v>cfpb_hmda_modified_lar</x:v>
      </x:c>
    </x:row>
    <x:row r="92" ht="28" customHeight="1">
      <x:c r="A92" s="273" t="str">
        <x:v>hmda_share_downpayment_below_3pct_va</x:v>
      </x:c>
      <x:c r="B92" s="273" t="str">
        <x:v>HMDA VA share below 3% down</x:v>
      </x:c>
      <x:c r="C92" s="273" t="str">
        <x:v>HMDA rates and threshold shares</x:v>
      </x:c>
      <x:c r="D92" s="281" t="str">
        <x:v>C</x:v>
      </x:c>
      <x:c r="E92" s="273" t="str">
        <x:v>hmda_share_downpayment_below_3pct_va_monthly_rt</x:v>
      </x:c>
      <x:c r="F92" s="273" t="str">
        <x:v>share</x:v>
      </x:c>
      <x:c r="G92" s="273" t="str">
        <x:v>canonical_modeled_carry</x:v>
      </x:c>
      <x:c r="H92" s="273" t="str">
        <x:v>Partially populated</x:v>
      </x:c>
      <x:c r="I92" s="274" t="n">
        <x:v>3248</x:v>
      </x:c>
      <x:c r="J92" s="274" t="n">
        <x:v>460</x:v>
      </x:c>
      <x:c r="K92" s="274" t="n">
        <x:v>2788</x:v>
      </x:c>
      <x:c r="L92" s="274" t="n">
        <x:v>58</x:v>
      </x:c>
      <x:c r="M92" s="275" t="n">
        <x:v>44592</x:v>
      </x:c>
      <x:c r="N92" s="275" t="n">
        <x:v>46265</x:v>
      </x:c>
      <x:c r="O92" s="274" t="n">
        <x:v>464</x:v>
      </x:c>
      <x:c r="P92" s="274" t="n">
        <x:v>0</x:v>
      </x:c>
      <x:c r="Q92" s="274" t="n">
        <x:v>3190</x:v>
      </x:c>
      <x:c r="R92" s="274" t="n">
        <x:v>1960</x:v>
      </x:c>
      <x:c r="S92" s="273" t="str">
        <x:v>cfpb_hmda_modified_lar</x:v>
      </x:c>
    </x:row>
    <x:row r="93" ht="28" customHeight="1">
      <x:c r="A93" s="273" t="str">
        <x:v>hmda_share_downpayment_below_5pct_va</x:v>
      </x:c>
      <x:c r="B93" s="273" t="str">
        <x:v>HMDA VA share below 5% down</x:v>
      </x:c>
      <x:c r="C93" s="273" t="str">
        <x:v>HMDA rates and threshold shares</x:v>
      </x:c>
      <x:c r="D93" s="277" t="str">
        <x:v>A</x:v>
      </x:c>
      <x:c r="E93" s="273" t="str">
        <x:v>hmda_share_downpayment_below_5pct_va_benchmark</x:v>
      </x:c>
      <x:c r="F93" s="273" t="str">
        <x:v>ratio</x:v>
      </x:c>
      <x:c r="G93" s="273" t="str">
        <x:v>Partially populated</x:v>
      </x:c>
      <x:c r="H93" s="273" t="str">
        <x:v>Partially populated</x:v>
      </x:c>
      <x:c r="I93" s="274" t="n">
        <x:v>58</x:v>
      </x:c>
      <x:c r="J93" s="274" t="n">
        <x:v>23</x:v>
      </x:c>
      <x:c r="K93" s="274" t="n">
        <x:v>35</x:v>
      </x:c>
      <x:c r="L93" s="274" t="n">
        <x:v>58</x:v>
      </x:c>
      <x:c r="M93" s="275" t="n">
        <x:v>45839</x:v>
      </x:c>
      <x:c r="N93" s="275" t="n">
        <x:v>45839</x:v>
      </x:c>
      <x:c r="O93" s="274" t="n">
        <x:v>0</x:v>
      </x:c>
      <x:c r="P93" s="274" t="n">
        <x:v>0</x:v>
      </x:c>
      <x:c r="Q93" s="274" t="n">
        <x:v>0</x:v>
      </x:c>
      <x:c r="R93" s="274" t="n">
        <x:v>35</x:v>
      </x:c>
      <x:c r="S93" s="273" t="str">
        <x:v>cfpb_hmda_modified_lar</x:v>
      </x:c>
    </x:row>
    <x:row r="94" ht="28" customHeight="1">
      <x:c r="A94" s="273" t="str">
        <x:v>hmda_share_downpayment_below_5pct_va</x:v>
      </x:c>
      <x:c r="B94" s="273" t="str">
        <x:v>HMDA VA share below 5% down</x:v>
      </x:c>
      <x:c r="C94" s="273" t="str">
        <x:v>HMDA rates and threshold shares</x:v>
      </x:c>
      <x:c r="D94" s="279" t="str">
        <x:v>B</x:v>
      </x:c>
      <x:c r="E94" s="273" t="str">
        <x:v>hmda_share_downpayment_below_5pct_va_monthly_hist</x:v>
      </x:c>
      <x:c r="F94" s="273" t="str">
        <x:v>share</x:v>
      </x:c>
      <x:c r="G94" s="273" t="str">
        <x:v>canonical_modeled_repeat</x:v>
      </x:c>
      <x:c r="H94" s="273" t="str">
        <x:v>Partially populated</x:v>
      </x:c>
      <x:c r="I94" s="274" t="n">
        <x:v>696</x:v>
      </x:c>
      <x:c r="J94" s="274" t="n">
        <x:v>276</x:v>
      </x:c>
      <x:c r="K94" s="274" t="n">
        <x:v>420</x:v>
      </x:c>
      <x:c r="L94" s="274" t="n">
        <x:v>58</x:v>
      </x:c>
      <x:c r="M94" s="275" t="n">
        <x:v>45688</x:v>
      </x:c>
      <x:c r="N94" s="275" t="n">
        <x:v>46022</x:v>
      </x:c>
      <x:c r="O94" s="274" t="n">
        <x:v>0</x:v>
      </x:c>
      <x:c r="P94" s="274" t="n">
        <x:v>0</x:v>
      </x:c>
      <x:c r="Q94" s="274" t="n">
        <x:v>0</x:v>
      </x:c>
      <x:c r="R94" s="274" t="n">
        <x:v>420</x:v>
      </x:c>
      <x:c r="S94" s="273" t="str">
        <x:v>cfpb_hmda_modified_lar</x:v>
      </x:c>
    </x:row>
    <x:row r="95" ht="28" customHeight="1">
      <x:c r="A95" s="273" t="str">
        <x:v>hmda_share_downpayment_below_5pct_va</x:v>
      </x:c>
      <x:c r="B95" s="273" t="str">
        <x:v>HMDA VA share below 5% down</x:v>
      </x:c>
      <x:c r="C95" s="273" t="str">
        <x:v>HMDA rates and threshold shares</x:v>
      </x:c>
      <x:c r="D95" s="281" t="str">
        <x:v>C</x:v>
      </x:c>
      <x:c r="E95" s="273" t="str">
        <x:v>hmda_share_downpayment_below_5pct_va_monthly_rt</x:v>
      </x:c>
      <x:c r="F95" s="273" t="str">
        <x:v>share</x:v>
      </x:c>
      <x:c r="G95" s="273" t="str">
        <x:v>canonical_modeled_carry</x:v>
      </x:c>
      <x:c r="H95" s="273" t="str">
        <x:v>Partially populated</x:v>
      </x:c>
      <x:c r="I95" s="274" t="n">
        <x:v>3248</x:v>
      </x:c>
      <x:c r="J95" s="274" t="n">
        <x:v>460</x:v>
      </x:c>
      <x:c r="K95" s="274" t="n">
        <x:v>2788</x:v>
      </x:c>
      <x:c r="L95" s="274" t="n">
        <x:v>58</x:v>
      </x:c>
      <x:c r="M95" s="275" t="n">
        <x:v>44592</x:v>
      </x:c>
      <x:c r="N95" s="275" t="n">
        <x:v>46265</x:v>
      </x:c>
      <x:c r="O95" s="274" t="n">
        <x:v>464</x:v>
      </x:c>
      <x:c r="P95" s="274" t="n">
        <x:v>0</x:v>
      </x:c>
      <x:c r="Q95" s="274" t="n">
        <x:v>3190</x:v>
      </x:c>
      <x:c r="R95" s="274" t="n">
        <x:v>1960</x:v>
      </x:c>
      <x:c r="S95" s="273" t="str">
        <x:v>cfpb_hmda_modified_lar</x:v>
      </x:c>
    </x:row>
    <x:row r="96" ht="28" customHeight="1">
      <x:c r="A96" s="273" t="str">
        <x:v>hmda_share_downpayment_below_10pct_va</x:v>
      </x:c>
      <x:c r="B96" s="273" t="str">
        <x:v>HMDA VA share below 10% down</x:v>
      </x:c>
      <x:c r="C96" s="273" t="str">
        <x:v>HMDA rates and threshold shares</x:v>
      </x:c>
      <x:c r="D96" s="277" t="str">
        <x:v>A</x:v>
      </x:c>
      <x:c r="E96" s="273" t="str">
        <x:v>hmda_share_downpayment_below_10pct_va_benchmark</x:v>
      </x:c>
      <x:c r="F96" s="273" t="str">
        <x:v>ratio</x:v>
      </x:c>
      <x:c r="G96" s="273" t="str">
        <x:v>Partially populated</x:v>
      </x:c>
      <x:c r="H96" s="273" t="str">
        <x:v>Partially populated</x:v>
      </x:c>
      <x:c r="I96" s="274" t="n">
        <x:v>58</x:v>
      </x:c>
      <x:c r="J96" s="274" t="n">
        <x:v>23</x:v>
      </x:c>
      <x:c r="K96" s="274" t="n">
        <x:v>35</x:v>
      </x:c>
      <x:c r="L96" s="274" t="n">
        <x:v>58</x:v>
      </x:c>
      <x:c r="M96" s="275" t="n">
        <x:v>45839</x:v>
      </x:c>
      <x:c r="N96" s="275" t="n">
        <x:v>45839</x:v>
      </x:c>
      <x:c r="O96" s="274" t="n">
        <x:v>0</x:v>
      </x:c>
      <x:c r="P96" s="274" t="n">
        <x:v>0</x:v>
      </x:c>
      <x:c r="Q96" s="274" t="n">
        <x:v>0</x:v>
      </x:c>
      <x:c r="R96" s="274" t="n">
        <x:v>35</x:v>
      </x:c>
      <x:c r="S96" s="273" t="str">
        <x:v>cfpb_hmda_modified_lar</x:v>
      </x:c>
    </x:row>
    <x:row r="97" ht="28" customHeight="1">
      <x:c r="A97" s="273" t="str">
        <x:v>hmda_share_downpayment_below_10pct_va</x:v>
      </x:c>
      <x:c r="B97" s="273" t="str">
        <x:v>HMDA VA share below 10% down</x:v>
      </x:c>
      <x:c r="C97" s="273" t="str">
        <x:v>HMDA rates and threshold shares</x:v>
      </x:c>
      <x:c r="D97" s="279" t="str">
        <x:v>B</x:v>
      </x:c>
      <x:c r="E97" s="273" t="str">
        <x:v>hmda_share_downpayment_below_10pct_va_monthly_hist</x:v>
      </x:c>
      <x:c r="F97" s="273" t="str">
        <x:v>share</x:v>
      </x:c>
      <x:c r="G97" s="273" t="str">
        <x:v>canonical_modeled_repeat</x:v>
      </x:c>
      <x:c r="H97" s="273" t="str">
        <x:v>Partially populated</x:v>
      </x:c>
      <x:c r="I97" s="274" t="n">
        <x:v>696</x:v>
      </x:c>
      <x:c r="J97" s="274" t="n">
        <x:v>276</x:v>
      </x:c>
      <x:c r="K97" s="274" t="n">
        <x:v>420</x:v>
      </x:c>
      <x:c r="L97" s="274" t="n">
        <x:v>58</x:v>
      </x:c>
      <x:c r="M97" s="275" t="n">
        <x:v>45688</x:v>
      </x:c>
      <x:c r="N97" s="275" t="n">
        <x:v>46022</x:v>
      </x:c>
      <x:c r="O97" s="274" t="n">
        <x:v>0</x:v>
      </x:c>
      <x:c r="P97" s="274" t="n">
        <x:v>0</x:v>
      </x:c>
      <x:c r="Q97" s="274" t="n">
        <x:v>0</x:v>
      </x:c>
      <x:c r="R97" s="274" t="n">
        <x:v>420</x:v>
      </x:c>
      <x:c r="S97" s="273" t="str">
        <x:v>cfpb_hmda_modified_lar</x:v>
      </x:c>
    </x:row>
    <x:row r="98" ht="28" customHeight="1">
      <x:c r="A98" s="273" t="str">
        <x:v>hmda_share_downpayment_below_10pct_va</x:v>
      </x:c>
      <x:c r="B98" s="273" t="str">
        <x:v>HMDA VA share below 10% down</x:v>
      </x:c>
      <x:c r="C98" s="273" t="str">
        <x:v>HMDA rates and threshold shares</x:v>
      </x:c>
      <x:c r="D98" s="281" t="str">
        <x:v>C</x:v>
      </x:c>
      <x:c r="E98" s="273" t="str">
        <x:v>hmda_share_downpayment_below_10pct_va_monthly_rt</x:v>
      </x:c>
      <x:c r="F98" s="273" t="str">
        <x:v>share</x:v>
      </x:c>
      <x:c r="G98" s="273" t="str">
        <x:v>canonical_modeled_carry</x:v>
      </x:c>
      <x:c r="H98" s="273" t="str">
        <x:v>Partially populated</x:v>
      </x:c>
      <x:c r="I98" s="274" t="n">
        <x:v>3248</x:v>
      </x:c>
      <x:c r="J98" s="274" t="n">
        <x:v>460</x:v>
      </x:c>
      <x:c r="K98" s="274" t="n">
        <x:v>2788</x:v>
      </x:c>
      <x:c r="L98" s="274" t="n">
        <x:v>58</x:v>
      </x:c>
      <x:c r="M98" s="275" t="n">
        <x:v>44592</x:v>
      </x:c>
      <x:c r="N98" s="275" t="n">
        <x:v>46265</x:v>
      </x:c>
      <x:c r="O98" s="274" t="n">
        <x:v>464</x:v>
      </x:c>
      <x:c r="P98" s="274" t="n">
        <x:v>0</x:v>
      </x:c>
      <x:c r="Q98" s="274" t="n">
        <x:v>3190</x:v>
      </x:c>
      <x:c r="R98" s="274" t="n">
        <x:v>1960</x:v>
      </x:c>
      <x:c r="S98" s="273" t="str">
        <x:v>cfpb_hmda_modified_lar</x:v>
      </x:c>
    </x:row>
    <x:row r="99" ht="28" customHeight="1">
      <x:c r="A99" s="273" t="str">
        <x:v>hmda_share_downpayment_below_20pct_va</x:v>
      </x:c>
      <x:c r="B99" s="273" t="str">
        <x:v>HMDA VA share below 20% down</x:v>
      </x:c>
      <x:c r="C99" s="273" t="str">
        <x:v>HMDA rates and threshold shares</x:v>
      </x:c>
      <x:c r="D99" s="277" t="str">
        <x:v>A</x:v>
      </x:c>
      <x:c r="E99" s="273" t="str">
        <x:v>hmda_share_downpayment_below_20pct_va_benchmark</x:v>
      </x:c>
      <x:c r="F99" s="273" t="str">
        <x:v>ratio</x:v>
      </x:c>
      <x:c r="G99" s="273" t="str">
        <x:v>Partially populated</x:v>
      </x:c>
      <x:c r="H99" s="273" t="str">
        <x:v>Partially populated</x:v>
      </x:c>
      <x:c r="I99" s="274" t="n">
        <x:v>58</x:v>
      </x:c>
      <x:c r="J99" s="274" t="n">
        <x:v>23</x:v>
      </x:c>
      <x:c r="K99" s="274" t="n">
        <x:v>35</x:v>
      </x:c>
      <x:c r="L99" s="274" t="n">
        <x:v>58</x:v>
      </x:c>
      <x:c r="M99" s="275" t="n">
        <x:v>45839</x:v>
      </x:c>
      <x:c r="N99" s="275" t="n">
        <x:v>45839</x:v>
      </x:c>
      <x:c r="O99" s="274" t="n">
        <x:v>0</x:v>
      </x:c>
      <x:c r="P99" s="274" t="n">
        <x:v>0</x:v>
      </x:c>
      <x:c r="Q99" s="274" t="n">
        <x:v>0</x:v>
      </x:c>
      <x:c r="R99" s="274" t="n">
        <x:v>35</x:v>
      </x:c>
      <x:c r="S99" s="273" t="str">
        <x:v>cfpb_hmda_modified_lar</x:v>
      </x:c>
    </x:row>
    <x:row r="100" ht="28" customHeight="1">
      <x:c r="A100" s="273" t="str">
        <x:v>hmda_share_downpayment_below_20pct_va</x:v>
      </x:c>
      <x:c r="B100" s="273" t="str">
        <x:v>HMDA VA share below 20% down</x:v>
      </x:c>
      <x:c r="C100" s="273" t="str">
        <x:v>HMDA rates and threshold shares</x:v>
      </x:c>
      <x:c r="D100" s="279" t="str">
        <x:v>B</x:v>
      </x:c>
      <x:c r="E100" s="273" t="str">
        <x:v>hmda_share_downpayment_below_20pct_va_monthly_hist</x:v>
      </x:c>
      <x:c r="F100" s="273" t="str">
        <x:v>share</x:v>
      </x:c>
      <x:c r="G100" s="273" t="str">
        <x:v>canonical_modeled_repeat</x:v>
      </x:c>
      <x:c r="H100" s="273" t="str">
        <x:v>Partially populated</x:v>
      </x:c>
      <x:c r="I100" s="274" t="n">
        <x:v>696</x:v>
      </x:c>
      <x:c r="J100" s="274" t="n">
        <x:v>276</x:v>
      </x:c>
      <x:c r="K100" s="274" t="n">
        <x:v>420</x:v>
      </x:c>
      <x:c r="L100" s="274" t="n">
        <x:v>58</x:v>
      </x:c>
      <x:c r="M100" s="275" t="n">
        <x:v>45688</x:v>
      </x:c>
      <x:c r="N100" s="275" t="n">
        <x:v>46022</x:v>
      </x:c>
      <x:c r="O100" s="274" t="n">
        <x:v>0</x:v>
      </x:c>
      <x:c r="P100" s="274" t="n">
        <x:v>0</x:v>
      </x:c>
      <x:c r="Q100" s="274" t="n">
        <x:v>0</x:v>
      </x:c>
      <x:c r="R100" s="274" t="n">
        <x:v>420</x:v>
      </x:c>
      <x:c r="S100" s="273" t="str">
        <x:v>cfpb_hmda_modified_lar</x:v>
      </x:c>
    </x:row>
    <x:row r="101" ht="28" customHeight="1">
      <x:c r="A101" s="273" t="str">
        <x:v>hmda_share_downpayment_below_20pct_va</x:v>
      </x:c>
      <x:c r="B101" s="273" t="str">
        <x:v>HMDA VA share below 20% down</x:v>
      </x:c>
      <x:c r="C101" s="273" t="str">
        <x:v>HMDA rates and threshold shares</x:v>
      </x:c>
      <x:c r="D101" s="281" t="str">
        <x:v>C</x:v>
      </x:c>
      <x:c r="E101" s="273" t="str">
        <x:v>hmda_share_downpayment_below_20pct_va_monthly_rt</x:v>
      </x:c>
      <x:c r="F101" s="273" t="str">
        <x:v>share</x:v>
      </x:c>
      <x:c r="G101" s="273" t="str">
        <x:v>canonical_modeled_carry</x:v>
      </x:c>
      <x:c r="H101" s="273" t="str">
        <x:v>Partially populated</x:v>
      </x:c>
      <x:c r="I101" s="274" t="n">
        <x:v>3248</x:v>
      </x:c>
      <x:c r="J101" s="274" t="n">
        <x:v>460</x:v>
      </x:c>
      <x:c r="K101" s="274" t="n">
        <x:v>2788</x:v>
      </x:c>
      <x:c r="L101" s="274" t="n">
        <x:v>58</x:v>
      </x:c>
      <x:c r="M101" s="275" t="n">
        <x:v>44592</x:v>
      </x:c>
      <x:c r="N101" s="275" t="n">
        <x:v>46265</x:v>
      </x:c>
      <x:c r="O101" s="274" t="n">
        <x:v>464</x:v>
      </x:c>
      <x:c r="P101" s="274" t="n">
        <x:v>0</x:v>
      </x:c>
      <x:c r="Q101" s="274" t="n">
        <x:v>3190</x:v>
      </x:c>
      <x:c r="R101" s="274" t="n">
        <x:v>1960</x:v>
      </x:c>
      <x:c r="S101" s="273" t="str">
        <x:v>cfpb_hmda_modified_lar</x:v>
      </x:c>
    </x:row>
    <x:row r="102" ht="28" customHeight="1">
      <x:c r="A102" s="273" t="str">
        <x:v>hmda_aggregate_downpayment_flow</x:v>
      </x:c>
      <x:c r="B102" s="273" t="str">
        <x:v>HMDA aggregate down-payment flow</x:v>
      </x:c>
      <x:c r="C102" s="273" t="str">
        <x:v>Canonical HMDA flows - unavailable monthly</x:v>
      </x:c>
      <x:c r="D102" s="277" t="str">
        <x:v>A</x:v>
      </x:c>
      <x:c r="E102" s="273" t="str">
        <x:v>hmda_aggregate_downpayment_flow_benchmark</x:v>
      </x:c>
      <x:c r="F102" s="273" t="str">
        <x:v>USD</x:v>
      </x:c>
      <x:c r="G102" s="273" t="str">
        <x:v>Partially populated</x:v>
      </x:c>
      <x:c r="H102" s="273" t="str">
        <x:v>Partially populated</x:v>
      </x:c>
      <x:c r="I102" s="274" t="n">
        <x:v>58</x:v>
      </x:c>
      <x:c r="J102" s="274" t="n">
        <x:v>55</x:v>
      </x:c>
      <x:c r="K102" s="274" t="n">
        <x:v>3</x:v>
      </x:c>
      <x:c r="L102" s="274" t="n">
        <x:v>58</x:v>
      </x:c>
      <x:c r="M102" s="275" t="n">
        <x:v>45839</x:v>
      </x:c>
      <x:c r="N102" s="275" t="n">
        <x:v>45839</x:v>
      </x:c>
      <x:c r="O102" s="274" t="n">
        <x:v>0</x:v>
      </x:c>
      <x:c r="P102" s="274" t="n">
        <x:v>0</x:v>
      </x:c>
      <x:c r="Q102" s="274" t="n">
        <x:v>0</x:v>
      </x:c>
      <x:c r="R102" s="274" t="n">
        <x:v>3</x:v>
      </x:c>
      <x:c r="S102" s="273" t="str">
        <x:v>cfpb_hmda_modified_lar</x:v>
      </x:c>
    </x:row>
    <x:row r="103" ht="28" customHeight="1">
      <x:c r="A103" s="273" t="str">
        <x:v>hmda_aggregate_downpayment_flow</x:v>
      </x:c>
      <x:c r="B103" s="273" t="str">
        <x:v>HMDA aggregate down-payment flow</x:v>
      </x:c>
      <x:c r="C103" s="273" t="str">
        <x:v>Canonical HMDA flows - unavailable monthly</x:v>
      </x:c>
      <x:c r="D103" s="279" t="str">
        <x:v>B</x:v>
      </x:c>
      <x:c r="E103" s="273" t="str">
        <x:v>hmda_aggregate_downpayment_flow_monthly_hist</x:v>
      </x:c>
      <x:c r="F103" s="273" t="str">
        <x:v>USD</x:v>
      </x:c>
      <x:c r="G103" s="273" t="str">
        <x:v>canonical_null</x:v>
      </x:c>
      <x:c r="H103" s="273" t="str">
        <x:v>Explicit null</x:v>
      </x:c>
      <x:c r="I103" s="274" t="n">
        <x:v>696</x:v>
      </x:c>
      <x:c r="J103" s="274" t="n">
        <x:v>0</x:v>
      </x:c>
      <x:c r="K103" s="274" t="n">
        <x:v>696</x:v>
      </x:c>
      <x:c r="L103" s="274" t="n">
        <x:v>58</x:v>
      </x:c>
      <x:c r="M103" s="275" t="n">
        <x:v>45688</x:v>
      </x:c>
      <x:c r="N103" s="275" t="n">
        <x:v>46022</x:v>
      </x:c>
      <x:c r="O103" s="274" t="n">
        <x:v>0</x:v>
      </x:c>
      <x:c r="P103" s="274" t="n">
        <x:v>0</x:v>
      </x:c>
      <x:c r="Q103" s="274" t="n">
        <x:v>0</x:v>
      </x:c>
      <x:c r="R103" s="274" t="n">
        <x:v>36</x:v>
      </x:c>
      <x:c r="S103" s="273" t="str">
        <x:v>cfpb_hmda_modified_lar</x:v>
      </x:c>
    </x:row>
    <x:row r="104" ht="28" customHeight="1">
      <x:c r="A104" s="273" t="str">
        <x:v>hmda_aggregate_downpayment_flow</x:v>
      </x:c>
      <x:c r="B104" s="273" t="str">
        <x:v>HMDA aggregate down-payment flow</x:v>
      </x:c>
      <x:c r="C104" s="273" t="str">
        <x:v>Canonical HMDA flows - unavailable monthly</x:v>
      </x:c>
      <x:c r="D104" s="281" t="str">
        <x:v>C</x:v>
      </x:c>
      <x:c r="E104" s="273" t="str">
        <x:v>hmda_aggregate_downpayment_flow_monthly_rt</x:v>
      </x:c>
      <x:c r="F104" s="273" t="str">
        <x:v>USD</x:v>
      </x:c>
      <x:c r="G104" s="273" t="str">
        <x:v>canonical_null</x:v>
      </x:c>
      <x:c r="H104" s="273" t="str">
        <x:v>Explicit null</x:v>
      </x:c>
      <x:c r="I104" s="274" t="n">
        <x:v>3248</x:v>
      </x:c>
      <x:c r="J104" s="274" t="n">
        <x:v>0</x:v>
      </x:c>
      <x:c r="K104" s="274" t="n">
        <x:v>3248</x:v>
      </x:c>
      <x:c r="L104" s="274" t="n">
        <x:v>58</x:v>
      </x:c>
      <x:c r="M104" s="275" t="n">
        <x:v>44592</x:v>
      </x:c>
      <x:c r="N104" s="275" t="n">
        <x:v>46265</x:v>
      </x:c>
      <x:c r="O104" s="274" t="n">
        <x:v>0</x:v>
      </x:c>
      <x:c r="P104" s="274" t="n">
        <x:v>0</x:v>
      </x:c>
      <x:c r="Q104" s="274" t="n">
        <x:v>0</x:v>
      </x:c>
      <x:c r="R104" s="274" t="n">
        <x:v>0</x:v>
      </x:c>
      <x:c r="S104" s="273" t="str">
        <x:v>cfpb_hmda_modified_lar</x:v>
      </x:c>
    </x:row>
    <x:row r="105" ht="28" customHeight="1">
      <x:c r="A105" s="273" t="str">
        <x:v>hmda_aggregate_downpayment_flow_conventional</x:v>
      </x:c>
      <x:c r="B105" s="273" t="str">
        <x:v>HMDA aggregate down-payment flow - conventional</x:v>
      </x:c>
      <x:c r="C105" s="273" t="str">
        <x:v>Canonical HMDA flows - unavailable monthly</x:v>
      </x:c>
      <x:c r="D105" s="277" t="str">
        <x:v>A</x:v>
      </x:c>
      <x:c r="E105" s="273" t="str">
        <x:v>hmda_aggregate_downpayment_flow_conventional_benchmark</x:v>
      </x:c>
      <x:c r="F105" s="273" t="str">
        <x:v>USD</x:v>
      </x:c>
      <x:c r="G105" s="273" t="str">
        <x:v>Partially populated</x:v>
      </x:c>
      <x:c r="H105" s="273" t="str">
        <x:v>Partially populated</x:v>
      </x:c>
      <x:c r="I105" s="274" t="n">
        <x:v>58</x:v>
      </x:c>
      <x:c r="J105" s="274" t="n">
        <x:v>46</x:v>
      </x:c>
      <x:c r="K105" s="274" t="n">
        <x:v>12</x:v>
      </x:c>
      <x:c r="L105" s="274" t="n">
        <x:v>58</x:v>
      </x:c>
      <x:c r="M105" s="275" t="n">
        <x:v>45839</x:v>
      </x:c>
      <x:c r="N105" s="275" t="n">
        <x:v>45839</x:v>
      </x:c>
      <x:c r="O105" s="274" t="n">
        <x:v>0</x:v>
      </x:c>
      <x:c r="P105" s="274" t="n">
        <x:v>0</x:v>
      </x:c>
      <x:c r="Q105" s="274" t="n">
        <x:v>0</x:v>
      </x:c>
      <x:c r="R105" s="274" t="n">
        <x:v>12</x:v>
      </x:c>
      <x:c r="S105" s="273" t="str">
        <x:v>cfpb_hmda_modified_lar</x:v>
      </x:c>
    </x:row>
    <x:row r="106" ht="28" customHeight="1">
      <x:c r="A106" s="273" t="str">
        <x:v>hmda_aggregate_downpayment_flow_conventional</x:v>
      </x:c>
      <x:c r="B106" s="273" t="str">
        <x:v>HMDA aggregate down-payment flow - conventional</x:v>
      </x:c>
      <x:c r="C106" s="273" t="str">
        <x:v>Canonical HMDA flows - unavailable monthly</x:v>
      </x:c>
      <x:c r="D106" s="279" t="str">
        <x:v>B</x:v>
      </x:c>
      <x:c r="E106" s="273" t="str">
        <x:v>hmda_aggregate_downpayment_flow_conventional_monthly_hist</x:v>
      </x:c>
      <x:c r="F106" s="273" t="str">
        <x:v>USD</x:v>
      </x:c>
      <x:c r="G106" s="273" t="str">
        <x:v>canonical_null</x:v>
      </x:c>
      <x:c r="H106" s="273" t="str">
        <x:v>Explicit null</x:v>
      </x:c>
      <x:c r="I106" s="274" t="n">
        <x:v>696</x:v>
      </x:c>
      <x:c r="J106" s="274" t="n">
        <x:v>0</x:v>
      </x:c>
      <x:c r="K106" s="274" t="n">
        <x:v>696</x:v>
      </x:c>
      <x:c r="L106" s="274" t="n">
        <x:v>58</x:v>
      </x:c>
      <x:c r="M106" s="275" t="n">
        <x:v>45688</x:v>
      </x:c>
      <x:c r="N106" s="275" t="n">
        <x:v>46022</x:v>
      </x:c>
      <x:c r="O106" s="274" t="n">
        <x:v>0</x:v>
      </x:c>
      <x:c r="P106" s="274" t="n">
        <x:v>0</x:v>
      </x:c>
      <x:c r="Q106" s="274" t="n">
        <x:v>0</x:v>
      </x:c>
      <x:c r="R106" s="274" t="n">
        <x:v>144</x:v>
      </x:c>
      <x:c r="S106" s="273" t="str">
        <x:v>cfpb_hmda_modified_lar</x:v>
      </x:c>
    </x:row>
    <x:row r="107" ht="28" customHeight="1">
      <x:c r="A107" s="273" t="str">
        <x:v>hmda_aggregate_downpayment_flow_conventional</x:v>
      </x:c>
      <x:c r="B107" s="273" t="str">
        <x:v>HMDA aggregate down-payment flow - conventional</x:v>
      </x:c>
      <x:c r="C107" s="273" t="str">
        <x:v>Canonical HMDA flows - unavailable monthly</x:v>
      </x:c>
      <x:c r="D107" s="281" t="str">
        <x:v>C</x:v>
      </x:c>
      <x:c r="E107" s="273" t="str">
        <x:v>hmda_aggregate_downpayment_flow_conventional_monthly_rt</x:v>
      </x:c>
      <x:c r="F107" s="273" t="str">
        <x:v>USD</x:v>
      </x:c>
      <x:c r="G107" s="273" t="str">
        <x:v>canonical_null</x:v>
      </x:c>
      <x:c r="H107" s="273" t="str">
        <x:v>Explicit null</x:v>
      </x:c>
      <x:c r="I107" s="274" t="n">
        <x:v>3248</x:v>
      </x:c>
      <x:c r="J107" s="274" t="n">
        <x:v>0</x:v>
      </x:c>
      <x:c r="K107" s="274" t="n">
        <x:v>3248</x:v>
      </x:c>
      <x:c r="L107" s="274" t="n">
        <x:v>58</x:v>
      </x:c>
      <x:c r="M107" s="275" t="n">
        <x:v>44592</x:v>
      </x:c>
      <x:c r="N107" s="275" t="n">
        <x:v>46265</x:v>
      </x:c>
      <x:c r="O107" s="274" t="n">
        <x:v>0</x:v>
      </x:c>
      <x:c r="P107" s="274" t="n">
        <x:v>0</x:v>
      </x:c>
      <x:c r="Q107" s="274" t="n">
        <x:v>0</x:v>
      </x:c>
      <x:c r="R107" s="274" t="n">
        <x:v>0</x:v>
      </x:c>
      <x:c r="S107" s="273" t="str">
        <x:v>cfpb_hmda_modified_lar</x:v>
      </x:c>
    </x:row>
    <x:row r="108" ht="28" customHeight="1">
      <x:c r="A108" s="273" t="str">
        <x:v>hmda_aggregate_downpayment_flow_fha</x:v>
      </x:c>
      <x:c r="B108" s="273" t="str">
        <x:v>HMDA aggregate down-payment flow - FHA</x:v>
      </x:c>
      <x:c r="C108" s="273" t="str">
        <x:v>Canonical HMDA flows - unavailable monthly</x:v>
      </x:c>
      <x:c r="D108" s="277" t="str">
        <x:v>A</x:v>
      </x:c>
      <x:c r="E108" s="273" t="str">
        <x:v>hmda_aggregate_downpayment_flow_fha_benchmark</x:v>
      </x:c>
      <x:c r="F108" s="273" t="str">
        <x:v>USD</x:v>
      </x:c>
      <x:c r="G108" s="273" t="str">
        <x:v>Partially populated</x:v>
      </x:c>
      <x:c r="H108" s="273" t="str">
        <x:v>Partially populated</x:v>
      </x:c>
      <x:c r="I108" s="274" t="n">
        <x:v>58</x:v>
      </x:c>
      <x:c r="J108" s="274" t="n">
        <x:v>39</x:v>
      </x:c>
      <x:c r="K108" s="274" t="n">
        <x:v>19</x:v>
      </x:c>
      <x:c r="L108" s="274" t="n">
        <x:v>58</x:v>
      </x:c>
      <x:c r="M108" s="275" t="n">
        <x:v>45839</x:v>
      </x:c>
      <x:c r="N108" s="275" t="n">
        <x:v>45839</x:v>
      </x:c>
      <x:c r="O108" s="274" t="n">
        <x:v>0</x:v>
      </x:c>
      <x:c r="P108" s="274" t="n">
        <x:v>0</x:v>
      </x:c>
      <x:c r="Q108" s="274" t="n">
        <x:v>0</x:v>
      </x:c>
      <x:c r="R108" s="274" t="n">
        <x:v>19</x:v>
      </x:c>
      <x:c r="S108" s="273" t="str">
        <x:v>cfpb_hmda_modified_lar</x:v>
      </x:c>
    </x:row>
    <x:row r="109" ht="28" customHeight="1">
      <x:c r="A109" s="273" t="str">
        <x:v>hmda_aggregate_downpayment_flow_fha</x:v>
      </x:c>
      <x:c r="B109" s="273" t="str">
        <x:v>HMDA aggregate down-payment flow - FHA</x:v>
      </x:c>
      <x:c r="C109" s="273" t="str">
        <x:v>Canonical HMDA flows - unavailable monthly</x:v>
      </x:c>
      <x:c r="D109" s="279" t="str">
        <x:v>B</x:v>
      </x:c>
      <x:c r="E109" s="273" t="str">
        <x:v>hmda_aggregate_downpayment_flow_fha_monthly_hist</x:v>
      </x:c>
      <x:c r="F109" s="273" t="str">
        <x:v>USD</x:v>
      </x:c>
      <x:c r="G109" s="273" t="str">
        <x:v>canonical_null</x:v>
      </x:c>
      <x:c r="H109" s="273" t="str">
        <x:v>Explicit null</x:v>
      </x:c>
      <x:c r="I109" s="274" t="n">
        <x:v>696</x:v>
      </x:c>
      <x:c r="J109" s="274" t="n">
        <x:v>0</x:v>
      </x:c>
      <x:c r="K109" s="274" t="n">
        <x:v>696</x:v>
      </x:c>
      <x:c r="L109" s="274" t="n">
        <x:v>58</x:v>
      </x:c>
      <x:c r="M109" s="275" t="n">
        <x:v>45688</x:v>
      </x:c>
      <x:c r="N109" s="275" t="n">
        <x:v>46022</x:v>
      </x:c>
      <x:c r="O109" s="274" t="n">
        <x:v>0</x:v>
      </x:c>
      <x:c r="P109" s="274" t="n">
        <x:v>0</x:v>
      </x:c>
      <x:c r="Q109" s="274" t="n">
        <x:v>0</x:v>
      </x:c>
      <x:c r="R109" s="274" t="n">
        <x:v>228</x:v>
      </x:c>
      <x:c r="S109" s="273" t="str">
        <x:v>cfpb_hmda_modified_lar</x:v>
      </x:c>
    </x:row>
    <x:row r="110" ht="28" customHeight="1">
      <x:c r="A110" s="273" t="str">
        <x:v>hmda_aggregate_downpayment_flow_fha</x:v>
      </x:c>
      <x:c r="B110" s="273" t="str">
        <x:v>HMDA aggregate down-payment flow - FHA</x:v>
      </x:c>
      <x:c r="C110" s="273" t="str">
        <x:v>Canonical HMDA flows - unavailable monthly</x:v>
      </x:c>
      <x:c r="D110" s="281" t="str">
        <x:v>C</x:v>
      </x:c>
      <x:c r="E110" s="273" t="str">
        <x:v>hmda_aggregate_downpayment_flow_fha_monthly_rt</x:v>
      </x:c>
      <x:c r="F110" s="273" t="str">
        <x:v>USD</x:v>
      </x:c>
      <x:c r="G110" s="273" t="str">
        <x:v>canonical_null</x:v>
      </x:c>
      <x:c r="H110" s="273" t="str">
        <x:v>Explicit null</x:v>
      </x:c>
      <x:c r="I110" s="274" t="n">
        <x:v>3248</x:v>
      </x:c>
      <x:c r="J110" s="274" t="n">
        <x:v>0</x:v>
      </x:c>
      <x:c r="K110" s="274" t="n">
        <x:v>3248</x:v>
      </x:c>
      <x:c r="L110" s="274" t="n">
        <x:v>58</x:v>
      </x:c>
      <x:c r="M110" s="275" t="n">
        <x:v>44592</x:v>
      </x:c>
      <x:c r="N110" s="275" t="n">
        <x:v>46265</x:v>
      </x:c>
      <x:c r="O110" s="274" t="n">
        <x:v>0</x:v>
      </x:c>
      <x:c r="P110" s="274" t="n">
        <x:v>0</x:v>
      </x:c>
      <x:c r="Q110" s="274" t="n">
        <x:v>0</x:v>
      </x:c>
      <x:c r="R110" s="274" t="n">
        <x:v>0</x:v>
      </x:c>
      <x:c r="S110" s="273" t="str">
        <x:v>cfpb_hmda_modified_lar</x:v>
      </x:c>
    </x:row>
    <x:row r="111" ht="28" customHeight="1">
      <x:c r="A111" s="273" t="str">
        <x:v>hmda_aggregate_downpayment_flow_va</x:v>
      </x:c>
      <x:c r="B111" s="273" t="str">
        <x:v>HMDA aggregate down-payment flow - VA</x:v>
      </x:c>
      <x:c r="C111" s="273" t="str">
        <x:v>Canonical HMDA flows - unavailable monthly</x:v>
      </x:c>
      <x:c r="D111" s="277" t="str">
        <x:v>A</x:v>
      </x:c>
      <x:c r="E111" s="273" t="str">
        <x:v>hmda_aggregate_downpayment_flow_va_benchmark</x:v>
      </x:c>
      <x:c r="F111" s="273" t="str">
        <x:v>USD</x:v>
      </x:c>
      <x:c r="G111" s="273" t="str">
        <x:v>Partially populated</x:v>
      </x:c>
      <x:c r="H111" s="273" t="str">
        <x:v>Partially populated</x:v>
      </x:c>
      <x:c r="I111" s="274" t="n">
        <x:v>58</x:v>
      </x:c>
      <x:c r="J111" s="274" t="n">
        <x:v>23</x:v>
      </x:c>
      <x:c r="K111" s="274" t="n">
        <x:v>35</x:v>
      </x:c>
      <x:c r="L111" s="274" t="n">
        <x:v>58</x:v>
      </x:c>
      <x:c r="M111" s="275" t="n">
        <x:v>45839</x:v>
      </x:c>
      <x:c r="N111" s="275" t="n">
        <x:v>45839</x:v>
      </x:c>
      <x:c r="O111" s="274" t="n">
        <x:v>0</x:v>
      </x:c>
      <x:c r="P111" s="274" t="n">
        <x:v>0</x:v>
      </x:c>
      <x:c r="Q111" s="274" t="n">
        <x:v>0</x:v>
      </x:c>
      <x:c r="R111" s="274" t="n">
        <x:v>35</x:v>
      </x:c>
      <x:c r="S111" s="273" t="str">
        <x:v>cfpb_hmda_modified_lar</x:v>
      </x:c>
    </x:row>
    <x:row r="112" ht="28" customHeight="1">
      <x:c r="A112" s="273" t="str">
        <x:v>hmda_aggregate_downpayment_flow_va</x:v>
      </x:c>
      <x:c r="B112" s="273" t="str">
        <x:v>HMDA aggregate down-payment flow - VA</x:v>
      </x:c>
      <x:c r="C112" s="273" t="str">
        <x:v>Canonical HMDA flows - unavailable monthly</x:v>
      </x:c>
      <x:c r="D112" s="279" t="str">
        <x:v>B</x:v>
      </x:c>
      <x:c r="E112" s="273" t="str">
        <x:v>hmda_aggregate_downpayment_flow_va_monthly_hist</x:v>
      </x:c>
      <x:c r="F112" s="273" t="str">
        <x:v>USD</x:v>
      </x:c>
      <x:c r="G112" s="273" t="str">
        <x:v>canonical_null</x:v>
      </x:c>
      <x:c r="H112" s="273" t="str">
        <x:v>Explicit null</x:v>
      </x:c>
      <x:c r="I112" s="274" t="n">
        <x:v>696</x:v>
      </x:c>
      <x:c r="J112" s="274" t="n">
        <x:v>0</x:v>
      </x:c>
      <x:c r="K112" s="274" t="n">
        <x:v>696</x:v>
      </x:c>
      <x:c r="L112" s="274" t="n">
        <x:v>58</x:v>
      </x:c>
      <x:c r="M112" s="275" t="n">
        <x:v>45688</x:v>
      </x:c>
      <x:c r="N112" s="275" t="n">
        <x:v>46022</x:v>
      </x:c>
      <x:c r="O112" s="274" t="n">
        <x:v>0</x:v>
      </x:c>
      <x:c r="P112" s="274" t="n">
        <x:v>0</x:v>
      </x:c>
      <x:c r="Q112" s="274" t="n">
        <x:v>0</x:v>
      </x:c>
      <x:c r="R112" s="274" t="n">
        <x:v>420</x:v>
      </x:c>
      <x:c r="S112" s="273" t="str">
        <x:v>cfpb_hmda_modified_lar</x:v>
      </x:c>
    </x:row>
    <x:row r="113" ht="28" customHeight="1">
      <x:c r="A113" s="273" t="str">
        <x:v>hmda_aggregate_downpayment_flow_va</x:v>
      </x:c>
      <x:c r="B113" s="273" t="str">
        <x:v>HMDA aggregate down-payment flow - VA</x:v>
      </x:c>
      <x:c r="C113" s="273" t="str">
        <x:v>Canonical HMDA flows - unavailable monthly</x:v>
      </x:c>
      <x:c r="D113" s="281" t="str">
        <x:v>C</x:v>
      </x:c>
      <x:c r="E113" s="273" t="str">
        <x:v>hmda_aggregate_downpayment_flow_va_monthly_rt</x:v>
      </x:c>
      <x:c r="F113" s="273" t="str">
        <x:v>USD</x:v>
      </x:c>
      <x:c r="G113" s="273" t="str">
        <x:v>canonical_null</x:v>
      </x:c>
      <x:c r="H113" s="273" t="str">
        <x:v>Explicit null</x:v>
      </x:c>
      <x:c r="I113" s="274" t="n">
        <x:v>3248</x:v>
      </x:c>
      <x:c r="J113" s="274" t="n">
        <x:v>0</x:v>
      </x:c>
      <x:c r="K113" s="274" t="n">
        <x:v>3248</x:v>
      </x:c>
      <x:c r="L113" s="274" t="n">
        <x:v>58</x:v>
      </x:c>
      <x:c r="M113" s="275" t="n">
        <x:v>44592</x:v>
      </x:c>
      <x:c r="N113" s="275" t="n">
        <x:v>46265</x:v>
      </x:c>
      <x:c r="O113" s="274" t="n">
        <x:v>0</x:v>
      </x:c>
      <x:c r="P113" s="274" t="n">
        <x:v>0</x:v>
      </x:c>
      <x:c r="Q113" s="274" t="n">
        <x:v>0</x:v>
      </x:c>
      <x:c r="R113" s="274" t="n">
        <x:v>0</x:v>
      </x:c>
      <x:c r="S113" s="273" t="str">
        <x:v>cfpb_hmda_modified_lar</x:v>
      </x:c>
    </x:row>
    <x:row r="114" ht="28" customHeight="1">
      <x:c r="A114" s="273" t="str">
        <x:v>hmda_aggregate_downpayment_flow_redfin_sales_value_proxy</x:v>
      </x:c>
      <x:c r="B114" s="273" t="str">
        <x:v>HMDA aggregate down-payment flow - all eligible loans - Redfin sales-value proxy</x:v>
      </x:c>
      <x:c r="C114" s="273" t="str">
        <x:v>Redfin monthly flow proxies</x:v>
      </x:c>
      <x:c r="D114" s="279" t="str">
        <x:v>B</x:v>
      </x:c>
      <x:c r="E114" s="273" t="str">
        <x:v>hmda_aggregate_downpayment_flow_redfin_sales_value_proxy_monthly_hist</x:v>
      </x:c>
      <x:c r="F114" s="273" t="str">
        <x:v>USD</x:v>
      </x:c>
      <x:c r="G114" s="273" t="str">
        <x:v>proxy</x:v>
      </x:c>
      <x:c r="H114" s="273" t="str">
        <x:v>Partially populated</x:v>
      </x:c>
      <x:c r="I114" s="274" t="n">
        <x:v>696</x:v>
      </x:c>
      <x:c r="J114" s="274" t="n">
        <x:v>660</x:v>
      </x:c>
      <x:c r="K114" s="274" t="n">
        <x:v>36</x:v>
      </x:c>
      <x:c r="L114" s="274" t="n">
        <x:v>58</x:v>
      </x:c>
      <x:c r="M114" s="275" t="n">
        <x:v>45688</x:v>
      </x:c>
      <x:c r="N114" s="275" t="n">
        <x:v>46022</x:v>
      </x:c>
      <x:c r="O114" s="274" t="n">
        <x:v>0</x:v>
      </x:c>
      <x:c r="P114" s="274" t="n">
        <x:v>0</x:v>
      </x:c>
      <x:c r="Q114" s="274" t="n">
        <x:v>0</x:v>
      </x:c>
      <x:c r="R114" s="274" t="n">
        <x:v>36</x:v>
      </x:c>
      <x:c r="S114" s="273" t="str">
        <x:v>cfpb_hmda_modified_lar | cfpb_hmda_modified_lar|redfin_county_monthly</x:v>
      </x:c>
    </x:row>
    <x:row r="115" ht="28" customHeight="1">
      <x:c r="A115" s="273" t="str">
        <x:v>hmda_aggregate_downpayment_flow_redfin_sales_value_proxy</x:v>
      </x:c>
      <x:c r="B115" s="273" t="str">
        <x:v>HMDA aggregate down-payment flow - all eligible loans - Redfin sales-value proxy</x:v>
      </x:c>
      <x:c r="C115" s="273" t="str">
        <x:v>Redfin monthly flow proxies</x:v>
      </x:c>
      <x:c r="D115" s="281" t="str">
        <x:v>C</x:v>
      </x:c>
      <x:c r="E115" s="273" t="str">
        <x:v>hmda_aggregate_downpayment_flow_redfin_sales_value_proxy_monthly_rt</x:v>
      </x:c>
      <x:c r="F115" s="273" t="str">
        <x:v>USD</x:v>
      </x:c>
      <x:c r="G115" s="273" t="str">
        <x:v>proxy</x:v>
      </x:c>
      <x:c r="H115" s="273" t="str">
        <x:v>Partially populated</x:v>
      </x:c>
      <x:c r="I115" s="274" t="n">
        <x:v>3248</x:v>
      </x:c>
      <x:c r="J115" s="274" t="n">
        <x:v>935</x:v>
      </x:c>
      <x:c r="K115" s="274" t="n">
        <x:v>2313</x:v>
      </x:c>
      <x:c r="L115" s="274" t="n">
        <x:v>58</x:v>
      </x:c>
      <x:c r="M115" s="275" t="n">
        <x:v>44592</x:v>
      </x:c>
      <x:c r="N115" s="275" t="n">
        <x:v>46265</x:v>
      </x:c>
      <x:c r="O115" s="274" t="n">
        <x:v>464</x:v>
      </x:c>
      <x:c r="P115" s="274" t="n">
        <x:v>0</x:v>
      </x:c>
      <x:c r="Q115" s="274" t="n">
        <x:v>0</x:v>
      </x:c>
      <x:c r="R115" s="274" t="n">
        <x:v>168</x:v>
      </x:c>
      <x:c r="S115" s="273" t="str">
        <x:v>cfpb_hmda_modified_lar|redfin_county_monthly</x:v>
      </x:c>
    </x:row>
    <x:row r="116" ht="28" customHeight="1">
      <x:c r="A116" s="273" t="str">
        <x:v>hmda_aggregate_downpayment_flow_conventional_redfin_sales_value_proxy</x:v>
      </x:c>
      <x:c r="B116" s="273" t="str">
        <x:v>HMDA aggregate down-payment flow - conventional - Redfin sales-value proxy</x:v>
      </x:c>
      <x:c r="C116" s="273" t="str">
        <x:v>Redfin monthly flow proxies</x:v>
      </x:c>
      <x:c r="D116" s="279" t="str">
        <x:v>B</x:v>
      </x:c>
      <x:c r="E116" s="273" t="str">
        <x:v>hmda_aggregate_downpayment_flow_conventional_redfin_sales_value_proxy_monthly_hist</x:v>
      </x:c>
      <x:c r="F116" s="273" t="str">
        <x:v>USD</x:v>
      </x:c>
      <x:c r="G116" s="273" t="str">
        <x:v>proxy</x:v>
      </x:c>
      <x:c r="H116" s="273" t="str">
        <x:v>Partially populated</x:v>
      </x:c>
      <x:c r="I116" s="274" t="n">
        <x:v>696</x:v>
      </x:c>
      <x:c r="J116" s="274" t="n">
        <x:v>552</x:v>
      </x:c>
      <x:c r="K116" s="274" t="n">
        <x:v>144</x:v>
      </x:c>
      <x:c r="L116" s="274" t="n">
        <x:v>58</x:v>
      </x:c>
      <x:c r="M116" s="275" t="n">
        <x:v>45688</x:v>
      </x:c>
      <x:c r="N116" s="275" t="n">
        <x:v>46022</x:v>
      </x:c>
      <x:c r="O116" s="274" t="n">
        <x:v>0</x:v>
      </x:c>
      <x:c r="P116" s="274" t="n">
        <x:v>0</x:v>
      </x:c>
      <x:c r="Q116" s="274" t="n">
        <x:v>0</x:v>
      </x:c>
      <x:c r="R116" s="274" t="n">
        <x:v>144</x:v>
      </x:c>
      <x:c r="S116" s="273" t="str">
        <x:v>cfpb_hmda_modified_lar | cfpb_hmda_modified_lar|redfin_county_monthly</x:v>
      </x:c>
    </x:row>
    <x:row r="117" ht="28" customHeight="1">
      <x:c r="A117" s="273" t="str">
        <x:v>hmda_aggregate_downpayment_flow_conventional_redfin_sales_value_proxy</x:v>
      </x:c>
      <x:c r="B117" s="273" t="str">
        <x:v>HMDA aggregate down-payment flow - conventional - Redfin sales-value proxy</x:v>
      </x:c>
      <x:c r="C117" s="273" t="str">
        <x:v>Redfin monthly flow proxies</x:v>
      </x:c>
      <x:c r="D117" s="281" t="str">
        <x:v>C</x:v>
      </x:c>
      <x:c r="E117" s="273" t="str">
        <x:v>hmda_aggregate_downpayment_flow_conventional_redfin_sales_value_proxy_monthly_rt</x:v>
      </x:c>
      <x:c r="F117" s="273" t="str">
        <x:v>USD</x:v>
      </x:c>
      <x:c r="G117" s="273" t="str">
        <x:v>proxy</x:v>
      </x:c>
      <x:c r="H117" s="273" t="str">
        <x:v>Partially populated</x:v>
      </x:c>
      <x:c r="I117" s="274" t="n">
        <x:v>3248</x:v>
      </x:c>
      <x:c r="J117" s="274" t="n">
        <x:v>782</x:v>
      </x:c>
      <x:c r="K117" s="274" t="n">
        <x:v>2466</x:v>
      </x:c>
      <x:c r="L117" s="274" t="n">
        <x:v>58</x:v>
      </x:c>
      <x:c r="M117" s="275" t="n">
        <x:v>44592</x:v>
      </x:c>
      <x:c r="N117" s="275" t="n">
        <x:v>46265</x:v>
      </x:c>
      <x:c r="O117" s="274" t="n">
        <x:v>464</x:v>
      </x:c>
      <x:c r="P117" s="274" t="n">
        <x:v>0</x:v>
      </x:c>
      <x:c r="Q117" s="274" t="n">
        <x:v>0</x:v>
      </x:c>
      <x:c r="R117" s="274" t="n">
        <x:v>672</x:v>
      </x:c>
      <x:c r="S117" s="273" t="str">
        <x:v>cfpb_hmda_modified_lar|redfin_county_monthly</x:v>
      </x:c>
    </x:row>
    <x:row r="118" ht="28" customHeight="1">
      <x:c r="A118" s="273" t="str">
        <x:v>hmda_aggregate_downpayment_flow_fha_redfin_sales_value_proxy</x:v>
      </x:c>
      <x:c r="B118" s="273" t="str">
        <x:v>HMDA aggregate down-payment flow - FHA - Redfin sales-value proxy</x:v>
      </x:c>
      <x:c r="C118" s="273" t="str">
        <x:v>Redfin monthly flow proxies</x:v>
      </x:c>
      <x:c r="D118" s="279" t="str">
        <x:v>B</x:v>
      </x:c>
      <x:c r="E118" s="273" t="str">
        <x:v>hmda_aggregate_downpayment_flow_fha_redfin_sales_value_proxy_monthly_hist</x:v>
      </x:c>
      <x:c r="F118" s="273" t="str">
        <x:v>USD</x:v>
      </x:c>
      <x:c r="G118" s="273" t="str">
        <x:v>proxy</x:v>
      </x:c>
      <x:c r="H118" s="273" t="str">
        <x:v>Partially populated</x:v>
      </x:c>
      <x:c r="I118" s="274" t="n">
        <x:v>696</x:v>
      </x:c>
      <x:c r="J118" s="274" t="n">
        <x:v>468</x:v>
      </x:c>
      <x:c r="K118" s="274" t="n">
        <x:v>228</x:v>
      </x:c>
      <x:c r="L118" s="274" t="n">
        <x:v>58</x:v>
      </x:c>
      <x:c r="M118" s="275" t="n">
        <x:v>45688</x:v>
      </x:c>
      <x:c r="N118" s="275" t="n">
        <x:v>46022</x:v>
      </x:c>
      <x:c r="O118" s="274" t="n">
        <x:v>0</x:v>
      </x:c>
      <x:c r="P118" s="274" t="n">
        <x:v>0</x:v>
      </x:c>
      <x:c r="Q118" s="274" t="n">
        <x:v>0</x:v>
      </x:c>
      <x:c r="R118" s="274" t="n">
        <x:v>228</x:v>
      </x:c>
      <x:c r="S118" s="273" t="str">
        <x:v>cfpb_hmda_modified_lar | cfpb_hmda_modified_lar|redfin_county_monthly</x:v>
      </x:c>
    </x:row>
    <x:row r="119" ht="28" customHeight="1">
      <x:c r="A119" s="273" t="str">
        <x:v>hmda_aggregate_downpayment_flow_fha_redfin_sales_value_proxy</x:v>
      </x:c>
      <x:c r="B119" s="273" t="str">
        <x:v>HMDA aggregate down-payment flow - FHA - Redfin sales-value proxy</x:v>
      </x:c>
      <x:c r="C119" s="273" t="str">
        <x:v>Redfin monthly flow proxies</x:v>
      </x:c>
      <x:c r="D119" s="281" t="str">
        <x:v>C</x:v>
      </x:c>
      <x:c r="E119" s="273" t="str">
        <x:v>hmda_aggregate_downpayment_flow_fha_redfin_sales_value_proxy_monthly_rt</x:v>
      </x:c>
      <x:c r="F119" s="273" t="str">
        <x:v>USD</x:v>
      </x:c>
      <x:c r="G119" s="273" t="str">
        <x:v>proxy</x:v>
      </x:c>
      <x:c r="H119" s="273" t="str">
        <x:v>Partially populated</x:v>
      </x:c>
      <x:c r="I119" s="274" t="n">
        <x:v>3248</x:v>
      </x:c>
      <x:c r="J119" s="274" t="n">
        <x:v>663</x:v>
      </x:c>
      <x:c r="K119" s="274" t="n">
        <x:v>2585</x:v>
      </x:c>
      <x:c r="L119" s="274" t="n">
        <x:v>58</x:v>
      </x:c>
      <x:c r="M119" s="275" t="n">
        <x:v>44592</x:v>
      </x:c>
      <x:c r="N119" s="275" t="n">
        <x:v>46265</x:v>
      </x:c>
      <x:c r="O119" s="274" t="n">
        <x:v>464</x:v>
      </x:c>
      <x:c r="P119" s="274" t="n">
        <x:v>0</x:v>
      </x:c>
      <x:c r="Q119" s="274" t="n">
        <x:v>0</x:v>
      </x:c>
      <x:c r="R119" s="274" t="n">
        <x:v>1064</x:v>
      </x:c>
      <x:c r="S119" s="273" t="str">
        <x:v>cfpb_hmda_modified_lar|redfin_county_monthly</x:v>
      </x:c>
    </x:row>
    <x:row r="120" ht="28" customHeight="1">
      <x:c r="A120" s="273" t="str">
        <x:v>hmda_aggregate_downpayment_flow_va_redfin_sales_value_proxy</x:v>
      </x:c>
      <x:c r="B120" s="273" t="str">
        <x:v>HMDA aggregate down-payment flow - VA - Redfin sales-value proxy</x:v>
      </x:c>
      <x:c r="C120" s="273" t="str">
        <x:v>Redfin monthly flow proxies</x:v>
      </x:c>
      <x:c r="D120" s="279" t="str">
        <x:v>B</x:v>
      </x:c>
      <x:c r="E120" s="273" t="str">
        <x:v>hmda_aggregate_downpayment_flow_va_redfin_sales_value_proxy_monthly_hist</x:v>
      </x:c>
      <x:c r="F120" s="273" t="str">
        <x:v>USD</x:v>
      </x:c>
      <x:c r="G120" s="273" t="str">
        <x:v>proxy</x:v>
      </x:c>
      <x:c r="H120" s="273" t="str">
        <x:v>Partially populated</x:v>
      </x:c>
      <x:c r="I120" s="274" t="n">
        <x:v>696</x:v>
      </x:c>
      <x:c r="J120" s="274" t="n">
        <x:v>276</x:v>
      </x:c>
      <x:c r="K120" s="274" t="n">
        <x:v>420</x:v>
      </x:c>
      <x:c r="L120" s="274" t="n">
        <x:v>58</x:v>
      </x:c>
      <x:c r="M120" s="275" t="n">
        <x:v>45688</x:v>
      </x:c>
      <x:c r="N120" s="275" t="n">
        <x:v>46022</x:v>
      </x:c>
      <x:c r="O120" s="274" t="n">
        <x:v>0</x:v>
      </x:c>
      <x:c r="P120" s="274" t="n">
        <x:v>0</x:v>
      </x:c>
      <x:c r="Q120" s="274" t="n">
        <x:v>0</x:v>
      </x:c>
      <x:c r="R120" s="274" t="n">
        <x:v>420</x:v>
      </x:c>
      <x:c r="S120" s="273" t="str">
        <x:v>cfpb_hmda_modified_lar | cfpb_hmda_modified_lar|redfin_county_monthly</x:v>
      </x:c>
    </x:row>
    <x:row r="121" ht="28" customHeight="1">
      <x:c r="A121" s="273" t="str">
        <x:v>hmda_aggregate_downpayment_flow_va_redfin_sales_value_proxy</x:v>
      </x:c>
      <x:c r="B121" s="273" t="str">
        <x:v>HMDA aggregate down-payment flow - VA - Redfin sales-value proxy</x:v>
      </x:c>
      <x:c r="C121" s="273" t="str">
        <x:v>Redfin monthly flow proxies</x:v>
      </x:c>
      <x:c r="D121" s="281" t="str">
        <x:v>C</x:v>
      </x:c>
      <x:c r="E121" s="273" t="str">
        <x:v>hmda_aggregate_downpayment_flow_va_redfin_sales_value_proxy_monthly_rt</x:v>
      </x:c>
      <x:c r="F121" s="273" t="str">
        <x:v>USD</x:v>
      </x:c>
      <x:c r="G121" s="273" t="str">
        <x:v>proxy</x:v>
      </x:c>
      <x:c r="H121" s="273" t="str">
        <x:v>Partially populated</x:v>
      </x:c>
      <x:c r="I121" s="274" t="n">
        <x:v>3248</x:v>
      </x:c>
      <x:c r="J121" s="274" t="n">
        <x:v>391</x:v>
      </x:c>
      <x:c r="K121" s="274" t="n">
        <x:v>2857</x:v>
      </x:c>
      <x:c r="L121" s="274" t="n">
        <x:v>58</x:v>
      </x:c>
      <x:c r="M121" s="275" t="n">
        <x:v>44592</x:v>
      </x:c>
      <x:c r="N121" s="275" t="n">
        <x:v>46265</x:v>
      </x:c>
      <x:c r="O121" s="274" t="n">
        <x:v>464</x:v>
      </x:c>
      <x:c r="P121" s="274" t="n">
        <x:v>0</x:v>
      </x:c>
      <x:c r="Q121" s="274" t="n">
        <x:v>0</x:v>
      </x:c>
      <x:c r="R121" s="274" t="n">
        <x:v>1960</x:v>
      </x:c>
      <x:c r="S121" s="273" t="str">
        <x:v>cfpb_hmda_modified_lar|redfin_county_monthly</x:v>
      </x:c>
    </x:row>
    <x:row r="122" ht="28" customHeight="1">
      <x:c r="A122" s="273" t="str">
        <x:v>acs_implied_first_mortgage_balance_cal</x:v>
      </x:c>
      <x:c r="B122" s="273" t="str">
        <x:v>California-calibrated implied first-mortgage balance</x:v>
      </x:c>
      <x:c r="C122" s="273" t="str">
        <x:v>Canonical calibrated debt/equity/LTV - unavailable</x:v>
      </x:c>
      <x:c r="D122" s="277" t="str">
        <x:v>A</x:v>
      </x:c>
      <x:c r="E122" s="273" t="str">
        <x:v>acs_implied_first_mortgage_balance_cal_benchmark</x:v>
      </x:c>
      <x:c r="F122" s="273" t="str">
        <x:v>USD</x:v>
      </x:c>
      <x:c r="G122" s="273" t="str">
        <x:v>Explicit null</x:v>
      </x:c>
      <x:c r="H122" s="273" t="str">
        <x:v>Explicit null</x:v>
      </x:c>
      <x:c r="I122" s="274" t="n">
        <x:v>58</x:v>
      </x:c>
      <x:c r="J122" s="274" t="n">
        <x:v>0</x:v>
      </x:c>
      <x:c r="K122" s="274" t="n">
        <x:v>58</x:v>
      </x:c>
      <x:c r="L122" s="274" t="n">
        <x:v>58</x:v>
      </x:c>
      <x:c r="M122" s="275" t="n">
        <x:v>44743</x:v>
      </x:c>
      <x:c r="N122" s="275" t="n">
        <x:v>44743</x:v>
      </x:c>
      <x:c r="O122" s="274" t="n">
        <x:v>0</x:v>
      </x:c>
      <x:c r="P122" s="274" t="n">
        <x:v>0</x:v>
      </x:c>
      <x:c r="Q122" s="274" t="n">
        <x:v>0</x:v>
      </x:c>
      <x:c r="R122" s="274" t="n">
        <x:v>0</x:v>
      </x:c>
      <x:c r="S122" s="273" t="str">
        <x:v>census_acs5_finance|census_acs5_pums_housing_ca|census_tract_to_puma_2020|freddie_mac_pmms</x:v>
      </x:c>
    </x:row>
    <x:row r="123" ht="28" customHeight="1">
      <x:c r="A123" s="273" t="str">
        <x:v>acs_implied_first_mortgage_balance_cal</x:v>
      </x:c>
      <x:c r="B123" s="273" t="str">
        <x:v>California-calibrated implied first-mortgage balance</x:v>
      </x:c>
      <x:c r="C123" s="273" t="str">
        <x:v>Canonical calibrated debt/equity/LTV - unavailable</x:v>
      </x:c>
      <x:c r="D123" s="279" t="str">
        <x:v>B</x:v>
      </x:c>
      <x:c r="E123" s="273" t="str">
        <x:v>acs_implied_first_mortgage_balance_cal_monthly_hist</x:v>
      </x:c>
      <x:c r="F123" s="273" t="str">
        <x:v>USD</x:v>
      </x:c>
      <x:c r="G123" s="273" t="str">
        <x:v>canonical_null</x:v>
      </x:c>
      <x:c r="H123" s="273" t="str">
        <x:v>Explicit null</x:v>
      </x:c>
      <x:c r="I123" s="274" t="n">
        <x:v>9106</x:v>
      </x:c>
      <x:c r="J123" s="274" t="n">
        <x:v>0</x:v>
      </x:c>
      <x:c r="K123" s="274" t="n">
        <x:v>9106</x:v>
      </x:c>
      <x:c r="L123" s="274" t="n">
        <x:v>58</x:v>
      </x:c>
      <x:c r="M123" s="275" t="n">
        <x:v>41364</x:v>
      </x:c>
      <x:c r="N123" s="275" t="n">
        <x:v>46112</x:v>
      </x:c>
      <x:c r="O123" s="274" t="n">
        <x:v>0</x:v>
      </x:c>
      <x:c r="P123" s="274" t="n">
        <x:v>0</x:v>
      </x:c>
      <x:c r="Q123" s="274" t="n">
        <x:v>0</x:v>
      </x:c>
      <x:c r="R123" s="274" t="n">
        <x:v>0</x:v>
      </x:c>
      <x:c r="S123" s="273" t="str">
        <x:v>census_acs5_finance|census_acs5_pums_housing_ca|census_tract_to_puma_2020|freddie_mac_pmms</x:v>
      </x:c>
    </x:row>
    <x:row r="124" ht="28" customHeight="1">
      <x:c r="A124" s="273" t="str">
        <x:v>acs_implied_first_mortgage_balance_cal</x:v>
      </x:c>
      <x:c r="B124" s="273" t="str">
        <x:v>California-calibrated implied first-mortgage balance</x:v>
      </x:c>
      <x:c r="C124" s="273" t="str">
        <x:v>Canonical calibrated debt/equity/LTV - unavailable</x:v>
      </x:c>
      <x:c r="D124" s="281" t="str">
        <x:v>C</x:v>
      </x:c>
      <x:c r="E124" s="273" t="str">
        <x:v>acs_implied_first_mortgage_balance_cal_monthly_rt</x:v>
      </x:c>
      <x:c r="F124" s="273" t="str">
        <x:v>USD</x:v>
      </x:c>
      <x:c r="G124" s="273" t="str">
        <x:v>canonical_null</x:v>
      </x:c>
      <x:c r="H124" s="273" t="str">
        <x:v>Explicit null</x:v>
      </x:c>
      <x:c r="I124" s="274" t="n">
        <x:v>3248</x:v>
      </x:c>
      <x:c r="J124" s="274" t="n">
        <x:v>0</x:v>
      </x:c>
      <x:c r="K124" s="274" t="n">
        <x:v>3248</x:v>
      </x:c>
      <x:c r="L124" s="274" t="n">
        <x:v>58</x:v>
      </x:c>
      <x:c r="M124" s="275" t="n">
        <x:v>44592</x:v>
      </x:c>
      <x:c r="N124" s="275" t="n">
        <x:v>46265</x:v>
      </x:c>
      <x:c r="O124" s="274" t="n">
        <x:v>0</x:v>
      </x:c>
      <x:c r="P124" s="274" t="n">
        <x:v>0</x:v>
      </x:c>
      <x:c r="Q124" s="274" t="n">
        <x:v>0</x:v>
      </x:c>
      <x:c r="R124" s="274" t="n">
        <x:v>0</x:v>
      </x:c>
      <x:c r="S124" s="273" t="str">
        <x:v>census_acs5_finance|census_acs5_pums_housing_ca|census_tract_to_puma_2020|freddie_mac_pmms</x:v>
      </x:c>
    </x:row>
    <x:row r="125" ht="28" customHeight="1">
      <x:c r="A125" s="273" t="str">
        <x:v>acs_implied_owner_occupied_home_equity_mortgaged</x:v>
      </x:c>
      <x:c r="B125" s="273" t="str">
        <x:v>Implied mortgaged-owner home equity</x:v>
      </x:c>
      <x:c r="C125" s="273" t="str">
        <x:v>Canonical calibrated debt/equity/LTV - unavailable</x:v>
      </x:c>
      <x:c r="D125" s="277" t="str">
        <x:v>A</x:v>
      </x:c>
      <x:c r="E125" s="273" t="str">
        <x:v>acs_implied_owner_occupied_home_equity_mortgaged_benchmark</x:v>
      </x:c>
      <x:c r="F125" s="273" t="str">
        <x:v>USD</x:v>
      </x:c>
      <x:c r="G125" s="273" t="str">
        <x:v>Explicit null</x:v>
      </x:c>
      <x:c r="H125" s="273" t="str">
        <x:v>Explicit null</x:v>
      </x:c>
      <x:c r="I125" s="274" t="n">
        <x:v>58</x:v>
      </x:c>
      <x:c r="J125" s="274" t="n">
        <x:v>0</x:v>
      </x:c>
      <x:c r="K125" s="274" t="n">
        <x:v>58</x:v>
      </x:c>
      <x:c r="L125" s="274" t="n">
        <x:v>58</x:v>
      </x:c>
      <x:c r="M125" s="275" t="n">
        <x:v>44743</x:v>
      </x:c>
      <x:c r="N125" s="275" t="n">
        <x:v>44743</x:v>
      </x:c>
      <x:c r="O125" s="274" t="n">
        <x:v>0</x:v>
      </x:c>
      <x:c r="P125" s="274" t="n">
        <x:v>0</x:v>
      </x:c>
      <x:c r="Q125" s="274" t="n">
        <x:v>0</x:v>
      </x:c>
      <x:c r="R125" s="274" t="n">
        <x:v>0</x:v>
      </x:c>
      <x:c r="S125" s="273" t="str">
        <x:v>census_acs5_finance|census_acs5_pums_housing_ca|census_tract_to_puma_2020|freddie_mac_pmms</x:v>
      </x:c>
    </x:row>
    <x:row r="126" ht="28" customHeight="1">
      <x:c r="A126" s="273" t="str">
        <x:v>acs_implied_owner_occupied_home_equity_mortgaged</x:v>
      </x:c>
      <x:c r="B126" s="273" t="str">
        <x:v>Implied mortgaged-owner home equity</x:v>
      </x:c>
      <x:c r="C126" s="273" t="str">
        <x:v>Canonical calibrated debt/equity/LTV - unavailable</x:v>
      </x:c>
      <x:c r="D126" s="279" t="str">
        <x:v>B</x:v>
      </x:c>
      <x:c r="E126" s="273" t="str">
        <x:v>acs_implied_owner_occupied_home_equity_mortgaged_monthly_hist</x:v>
      </x:c>
      <x:c r="F126" s="273" t="str">
        <x:v>USD</x:v>
      </x:c>
      <x:c r="G126" s="273" t="str">
        <x:v>canonical_null</x:v>
      </x:c>
      <x:c r="H126" s="273" t="str">
        <x:v>Explicit null</x:v>
      </x:c>
      <x:c r="I126" s="274" t="n">
        <x:v>9106</x:v>
      </x:c>
      <x:c r="J126" s="274" t="n">
        <x:v>0</x:v>
      </x:c>
      <x:c r="K126" s="274" t="n">
        <x:v>9106</x:v>
      </x:c>
      <x:c r="L126" s="274" t="n">
        <x:v>58</x:v>
      </x:c>
      <x:c r="M126" s="275" t="n">
        <x:v>41364</x:v>
      </x:c>
      <x:c r="N126" s="275" t="n">
        <x:v>46112</x:v>
      </x:c>
      <x:c r="O126" s="274" t="n">
        <x:v>0</x:v>
      </x:c>
      <x:c r="P126" s="274" t="n">
        <x:v>0</x:v>
      </x:c>
      <x:c r="Q126" s="274" t="n">
        <x:v>0</x:v>
      </x:c>
      <x:c r="R126" s="274" t="n">
        <x:v>0</x:v>
      </x:c>
      <x:c r="S126" s="273" t="str">
        <x:v>census_acs5_finance|census_acs5_pums_housing_ca|census_tract_to_puma_2020|freddie_mac_pmms</x:v>
      </x:c>
    </x:row>
    <x:row r="127" ht="28" customHeight="1">
      <x:c r="A127" s="273" t="str">
        <x:v>acs_implied_owner_occupied_home_equity_mortgaged</x:v>
      </x:c>
      <x:c r="B127" s="273" t="str">
        <x:v>Implied mortgaged-owner home equity</x:v>
      </x:c>
      <x:c r="C127" s="273" t="str">
        <x:v>Canonical calibrated debt/equity/LTV - unavailable</x:v>
      </x:c>
      <x:c r="D127" s="281" t="str">
        <x:v>C</x:v>
      </x:c>
      <x:c r="E127" s="273" t="str">
        <x:v>acs_implied_owner_occupied_home_equity_mortgaged_monthly_rt</x:v>
      </x:c>
      <x:c r="F127" s="273" t="str">
        <x:v>USD</x:v>
      </x:c>
      <x:c r="G127" s="273" t="str">
        <x:v>canonical_null</x:v>
      </x:c>
      <x:c r="H127" s="273" t="str">
        <x:v>Explicit null</x:v>
      </x:c>
      <x:c r="I127" s="274" t="n">
        <x:v>3248</x:v>
      </x:c>
      <x:c r="J127" s="274" t="n">
        <x:v>0</x:v>
      </x:c>
      <x:c r="K127" s="274" t="n">
        <x:v>3248</x:v>
      </x:c>
      <x:c r="L127" s="274" t="n">
        <x:v>58</x:v>
      </x:c>
      <x:c r="M127" s="275" t="n">
        <x:v>44592</x:v>
      </x:c>
      <x:c r="N127" s="275" t="n">
        <x:v>46265</x:v>
      </x:c>
      <x:c r="O127" s="274" t="n">
        <x:v>0</x:v>
      </x:c>
      <x:c r="P127" s="274" t="n">
        <x:v>0</x:v>
      </x:c>
      <x:c r="Q127" s="274" t="n">
        <x:v>0</x:v>
      </x:c>
      <x:c r="R127" s="274" t="n">
        <x:v>0</x:v>
      </x:c>
      <x:c r="S127" s="273" t="str">
        <x:v>census_acs5_finance|census_acs5_pums_housing_ca|census_tract_to_puma_2020|freddie_mac_pmms</x:v>
      </x:c>
    </x:row>
    <x:row r="128" ht="28" customHeight="1">
      <x:c r="A128" s="273" t="str">
        <x:v>acs_implied_owner_occupied_home_equity_all</x:v>
      </x:c>
      <x:c r="B128" s="273" t="str">
        <x:v>Implied all-owner home equity</x:v>
      </x:c>
      <x:c r="C128" s="273" t="str">
        <x:v>Canonical calibrated debt/equity/LTV - unavailable</x:v>
      </x:c>
      <x:c r="D128" s="277" t="str">
        <x:v>A</x:v>
      </x:c>
      <x:c r="E128" s="273" t="str">
        <x:v>acs_implied_owner_occupied_home_equity_all_benchmark</x:v>
      </x:c>
      <x:c r="F128" s="273" t="str">
        <x:v>USD</x:v>
      </x:c>
      <x:c r="G128" s="273" t="str">
        <x:v>Explicit null</x:v>
      </x:c>
      <x:c r="H128" s="273" t="str">
        <x:v>Explicit null</x:v>
      </x:c>
      <x:c r="I128" s="274" t="n">
        <x:v>58</x:v>
      </x:c>
      <x:c r="J128" s="274" t="n">
        <x:v>0</x:v>
      </x:c>
      <x:c r="K128" s="274" t="n">
        <x:v>58</x:v>
      </x:c>
      <x:c r="L128" s="274" t="n">
        <x:v>58</x:v>
      </x:c>
      <x:c r="M128" s="275" t="n">
        <x:v>44743</x:v>
      </x:c>
      <x:c r="N128" s="275" t="n">
        <x:v>44743</x:v>
      </x:c>
      <x:c r="O128" s="274" t="n">
        <x:v>0</x:v>
      </x:c>
      <x:c r="P128" s="274" t="n">
        <x:v>0</x:v>
      </x:c>
      <x:c r="Q128" s="274" t="n">
        <x:v>0</x:v>
      </x:c>
      <x:c r="R128" s="274" t="n">
        <x:v>0</x:v>
      </x:c>
      <x:c r="S128" s="273" t="str">
        <x:v>census_acs5_finance|census_acs5_pums_housing_ca|census_tract_to_puma_2020|freddie_mac_pmms</x:v>
      </x:c>
    </x:row>
    <x:row r="129" ht="28" customHeight="1">
      <x:c r="A129" s="273" t="str">
        <x:v>acs_implied_owner_occupied_home_equity_all</x:v>
      </x:c>
      <x:c r="B129" s="273" t="str">
        <x:v>Implied all-owner home equity</x:v>
      </x:c>
      <x:c r="C129" s="273" t="str">
        <x:v>Canonical calibrated debt/equity/LTV - unavailable</x:v>
      </x:c>
      <x:c r="D129" s="279" t="str">
        <x:v>B</x:v>
      </x:c>
      <x:c r="E129" s="273" t="str">
        <x:v>acs_implied_owner_occupied_home_equity_all_monthly_hist</x:v>
      </x:c>
      <x:c r="F129" s="273" t="str">
        <x:v>USD</x:v>
      </x:c>
      <x:c r="G129" s="273" t="str">
        <x:v>canonical_null</x:v>
      </x:c>
      <x:c r="H129" s="273" t="str">
        <x:v>Explicit null</x:v>
      </x:c>
      <x:c r="I129" s="274" t="n">
        <x:v>9106</x:v>
      </x:c>
      <x:c r="J129" s="274" t="n">
        <x:v>0</x:v>
      </x:c>
      <x:c r="K129" s="274" t="n">
        <x:v>9106</x:v>
      </x:c>
      <x:c r="L129" s="274" t="n">
        <x:v>58</x:v>
      </x:c>
      <x:c r="M129" s="275" t="n">
        <x:v>41364</x:v>
      </x:c>
      <x:c r="N129" s="275" t="n">
        <x:v>46112</x:v>
      </x:c>
      <x:c r="O129" s="274" t="n">
        <x:v>0</x:v>
      </x:c>
      <x:c r="P129" s="274" t="n">
        <x:v>0</x:v>
      </x:c>
      <x:c r="Q129" s="274" t="n">
        <x:v>0</x:v>
      </x:c>
      <x:c r="R129" s="274" t="n">
        <x:v>0</x:v>
      </x:c>
      <x:c r="S129" s="273" t="str">
        <x:v>census_acs5_finance|census_acs5_pums_housing_ca|census_tract_to_puma_2020|freddie_mac_pmms</x:v>
      </x:c>
    </x:row>
    <x:row r="130" ht="28" customHeight="1">
      <x:c r="A130" s="273" t="str">
        <x:v>acs_implied_owner_occupied_home_equity_all</x:v>
      </x:c>
      <x:c r="B130" s="273" t="str">
        <x:v>Implied all-owner home equity</x:v>
      </x:c>
      <x:c r="C130" s="273" t="str">
        <x:v>Canonical calibrated debt/equity/LTV - unavailable</x:v>
      </x:c>
      <x:c r="D130" s="281" t="str">
        <x:v>C</x:v>
      </x:c>
      <x:c r="E130" s="273" t="str">
        <x:v>acs_implied_owner_occupied_home_equity_all_monthly_rt</x:v>
      </x:c>
      <x:c r="F130" s="273" t="str">
        <x:v>USD</x:v>
      </x:c>
      <x:c r="G130" s="273" t="str">
        <x:v>canonical_null</x:v>
      </x:c>
      <x:c r="H130" s="273" t="str">
        <x:v>Explicit null</x:v>
      </x:c>
      <x:c r="I130" s="274" t="n">
        <x:v>3248</x:v>
      </x:c>
      <x:c r="J130" s="274" t="n">
        <x:v>0</x:v>
      </x:c>
      <x:c r="K130" s="274" t="n">
        <x:v>3248</x:v>
      </x:c>
      <x:c r="L130" s="274" t="n">
        <x:v>58</x:v>
      </x:c>
      <x:c r="M130" s="275" t="n">
        <x:v>44592</x:v>
      </x:c>
      <x:c r="N130" s="275" t="n">
        <x:v>46265</x:v>
      </x:c>
      <x:c r="O130" s="274" t="n">
        <x:v>0</x:v>
      </x:c>
      <x:c r="P130" s="274" t="n">
        <x:v>0</x:v>
      </x:c>
      <x:c r="Q130" s="274" t="n">
        <x:v>0</x:v>
      </x:c>
      <x:c r="R130" s="274" t="n">
        <x:v>0</x:v>
      </x:c>
      <x:c r="S130" s="273" t="str">
        <x:v>census_acs5_finance|census_acs5_pums_housing_ca|census_tract_to_puma_2020|freddie_mac_pmms</x:v>
      </x:c>
    </x:row>
    <x:row r="131" ht="28" customHeight="1">
      <x:c r="A131" s="273" t="str">
        <x:v>acs_first_mortgage_debt_per_mortgaged_owner_unit</x:v>
      </x:c>
      <x:c r="B131" s="273" t="str">
        <x:v>First-mortgage debt per mortgaged owner unit</x:v>
      </x:c>
      <x:c r="C131" s="273" t="str">
        <x:v>Canonical calibrated debt/equity/LTV - unavailable</x:v>
      </x:c>
      <x:c r="D131" s="277" t="str">
        <x:v>A</x:v>
      </x:c>
      <x:c r="E131" s="273" t="str">
        <x:v>acs_first_mortgage_debt_per_mortgaged_owner_unit_benchmark</x:v>
      </x:c>
      <x:c r="F131" s="273" t="str">
        <x:v>USD/unit</x:v>
      </x:c>
      <x:c r="G131" s="273" t="str">
        <x:v>Explicit null</x:v>
      </x:c>
      <x:c r="H131" s="273" t="str">
        <x:v>Explicit null</x:v>
      </x:c>
      <x:c r="I131" s="274" t="n">
        <x:v>58</x:v>
      </x:c>
      <x:c r="J131" s="274" t="n">
        <x:v>0</x:v>
      </x:c>
      <x:c r="K131" s="274" t="n">
        <x:v>58</x:v>
      </x:c>
      <x:c r="L131" s="274" t="n">
        <x:v>58</x:v>
      </x:c>
      <x:c r="M131" s="275" t="n">
        <x:v>44743</x:v>
      </x:c>
      <x:c r="N131" s="275" t="n">
        <x:v>44743</x:v>
      </x:c>
      <x:c r="O131" s="274" t="n">
        <x:v>0</x:v>
      </x:c>
      <x:c r="P131" s="274" t="n">
        <x:v>0</x:v>
      </x:c>
      <x:c r="Q131" s="274" t="n">
        <x:v>0</x:v>
      </x:c>
      <x:c r="R131" s="274" t="n">
        <x:v>0</x:v>
      </x:c>
      <x:c r="S131" s="273" t="str">
        <x:v>census_acs5_finance|census_acs5_pums_housing_ca|census_tract_to_puma_2020|freddie_mac_pmms</x:v>
      </x:c>
    </x:row>
    <x:row r="132" ht="28" customHeight="1">
      <x:c r="A132" s="273" t="str">
        <x:v>acs_first_mortgage_debt_per_mortgaged_owner_unit</x:v>
      </x:c>
      <x:c r="B132" s="273" t="str">
        <x:v>First-mortgage debt per mortgaged owner unit</x:v>
      </x:c>
      <x:c r="C132" s="273" t="str">
        <x:v>Canonical calibrated debt/equity/LTV - unavailable</x:v>
      </x:c>
      <x:c r="D132" s="279" t="str">
        <x:v>B</x:v>
      </x:c>
      <x:c r="E132" s="273" t="str">
        <x:v>acs_first_mortgage_debt_per_mortgaged_owner_unit_monthly_hist</x:v>
      </x:c>
      <x:c r="F132" s="273" t="str">
        <x:v>USD/unit</x:v>
      </x:c>
      <x:c r="G132" s="273" t="str">
        <x:v>canonical_null</x:v>
      </x:c>
      <x:c r="H132" s="273" t="str">
        <x:v>Explicit null</x:v>
      </x:c>
      <x:c r="I132" s="274" t="n">
        <x:v>9106</x:v>
      </x:c>
      <x:c r="J132" s="274" t="n">
        <x:v>0</x:v>
      </x:c>
      <x:c r="K132" s="274" t="n">
        <x:v>9106</x:v>
      </x:c>
      <x:c r="L132" s="274" t="n">
        <x:v>58</x:v>
      </x:c>
      <x:c r="M132" s="275" t="n">
        <x:v>41364</x:v>
      </x:c>
      <x:c r="N132" s="275" t="n">
        <x:v>46112</x:v>
      </x:c>
      <x:c r="O132" s="274" t="n">
        <x:v>0</x:v>
      </x:c>
      <x:c r="P132" s="274" t="n">
        <x:v>0</x:v>
      </x:c>
      <x:c r="Q132" s="274" t="n">
        <x:v>0</x:v>
      </x:c>
      <x:c r="R132" s="274" t="n">
        <x:v>0</x:v>
      </x:c>
      <x:c r="S132" s="273" t="str">
        <x:v>census_acs5_finance|census_acs5_pums_housing_ca|census_tract_to_puma_2020|freddie_mac_pmms</x:v>
      </x:c>
    </x:row>
    <x:row r="133" ht="28" customHeight="1">
      <x:c r="A133" s="273" t="str">
        <x:v>acs_first_mortgage_debt_per_mortgaged_owner_unit</x:v>
      </x:c>
      <x:c r="B133" s="273" t="str">
        <x:v>First-mortgage debt per mortgaged owner unit</x:v>
      </x:c>
      <x:c r="C133" s="273" t="str">
        <x:v>Canonical calibrated debt/equity/LTV - unavailable</x:v>
      </x:c>
      <x:c r="D133" s="281" t="str">
        <x:v>C</x:v>
      </x:c>
      <x:c r="E133" s="273" t="str">
        <x:v>acs_first_mortgage_debt_per_mortgaged_owner_unit_monthly_rt</x:v>
      </x:c>
      <x:c r="F133" s="273" t="str">
        <x:v>USD/unit</x:v>
      </x:c>
      <x:c r="G133" s="273" t="str">
        <x:v>canonical_null</x:v>
      </x:c>
      <x:c r="H133" s="273" t="str">
        <x:v>Explicit null</x:v>
      </x:c>
      <x:c r="I133" s="274" t="n">
        <x:v>3248</x:v>
      </x:c>
      <x:c r="J133" s="274" t="n">
        <x:v>0</x:v>
      </x:c>
      <x:c r="K133" s="274" t="n">
        <x:v>3248</x:v>
      </x:c>
      <x:c r="L133" s="274" t="n">
        <x:v>58</x:v>
      </x:c>
      <x:c r="M133" s="275" t="n">
        <x:v>44592</x:v>
      </x:c>
      <x:c r="N133" s="275" t="n">
        <x:v>46265</x:v>
      </x:c>
      <x:c r="O133" s="274" t="n">
        <x:v>0</x:v>
      </x:c>
      <x:c r="P133" s="274" t="n">
        <x:v>0</x:v>
      </x:c>
      <x:c r="Q133" s="274" t="n">
        <x:v>0</x:v>
      </x:c>
      <x:c r="R133" s="274" t="n">
        <x:v>0</x:v>
      </x:c>
      <x:c r="S133" s="273" t="str">
        <x:v>census_acs5_finance|census_acs5_pums_housing_ca|census_tract_to_puma_2020|freddie_mac_pmms</x:v>
      </x:c>
    </x:row>
    <x:row r="134" ht="28" customHeight="1">
      <x:c r="A134" s="273" t="str">
        <x:v>acs_first_mortgage_debt_per_owner_unit</x:v>
      </x:c>
      <x:c r="B134" s="273" t="str">
        <x:v>First-mortgage debt per owner unit</x:v>
      </x:c>
      <x:c r="C134" s="273" t="str">
        <x:v>Canonical calibrated debt/equity/LTV - unavailable</x:v>
      </x:c>
      <x:c r="D134" s="277" t="str">
        <x:v>A</x:v>
      </x:c>
      <x:c r="E134" s="273" t="str">
        <x:v>acs_first_mortgage_debt_per_owner_unit_benchmark</x:v>
      </x:c>
      <x:c r="F134" s="273" t="str">
        <x:v>USD/unit</x:v>
      </x:c>
      <x:c r="G134" s="273" t="str">
        <x:v>Explicit null</x:v>
      </x:c>
      <x:c r="H134" s="273" t="str">
        <x:v>Explicit null</x:v>
      </x:c>
      <x:c r="I134" s="274" t="n">
        <x:v>58</x:v>
      </x:c>
      <x:c r="J134" s="274" t="n">
        <x:v>0</x:v>
      </x:c>
      <x:c r="K134" s="274" t="n">
        <x:v>58</x:v>
      </x:c>
      <x:c r="L134" s="274" t="n">
        <x:v>58</x:v>
      </x:c>
      <x:c r="M134" s="275" t="n">
        <x:v>44743</x:v>
      </x:c>
      <x:c r="N134" s="275" t="n">
        <x:v>44743</x:v>
      </x:c>
      <x:c r="O134" s="274" t="n">
        <x:v>0</x:v>
      </x:c>
      <x:c r="P134" s="274" t="n">
        <x:v>0</x:v>
      </x:c>
      <x:c r="Q134" s="274" t="n">
        <x:v>0</x:v>
      </x:c>
      <x:c r="R134" s="274" t="n">
        <x:v>0</x:v>
      </x:c>
      <x:c r="S134" s="273" t="str">
        <x:v>census_acs5_finance|census_acs5_pums_housing_ca|census_tract_to_puma_2020|freddie_mac_pmms</x:v>
      </x:c>
    </x:row>
    <x:row r="135" ht="28" customHeight="1">
      <x:c r="A135" s="273" t="str">
        <x:v>acs_first_mortgage_debt_per_owner_unit</x:v>
      </x:c>
      <x:c r="B135" s="273" t="str">
        <x:v>First-mortgage debt per owner unit</x:v>
      </x:c>
      <x:c r="C135" s="273" t="str">
        <x:v>Canonical calibrated debt/equity/LTV - unavailable</x:v>
      </x:c>
      <x:c r="D135" s="279" t="str">
        <x:v>B</x:v>
      </x:c>
      <x:c r="E135" s="273" t="str">
        <x:v>acs_first_mortgage_debt_per_owner_unit_monthly_hist</x:v>
      </x:c>
      <x:c r="F135" s="273" t="str">
        <x:v>USD/unit</x:v>
      </x:c>
      <x:c r="G135" s="273" t="str">
        <x:v>canonical_null</x:v>
      </x:c>
      <x:c r="H135" s="273" t="str">
        <x:v>Explicit null</x:v>
      </x:c>
      <x:c r="I135" s="274" t="n">
        <x:v>9106</x:v>
      </x:c>
      <x:c r="J135" s="274" t="n">
        <x:v>0</x:v>
      </x:c>
      <x:c r="K135" s="274" t="n">
        <x:v>9106</x:v>
      </x:c>
      <x:c r="L135" s="274" t="n">
        <x:v>58</x:v>
      </x:c>
      <x:c r="M135" s="275" t="n">
        <x:v>41364</x:v>
      </x:c>
      <x:c r="N135" s="275" t="n">
        <x:v>46112</x:v>
      </x:c>
      <x:c r="O135" s="274" t="n">
        <x:v>0</x:v>
      </x:c>
      <x:c r="P135" s="274" t="n">
        <x:v>0</x:v>
      </x:c>
      <x:c r="Q135" s="274" t="n">
        <x:v>0</x:v>
      </x:c>
      <x:c r="R135" s="274" t="n">
        <x:v>0</x:v>
      </x:c>
      <x:c r="S135" s="273" t="str">
        <x:v>census_acs5_finance|census_acs5_pums_housing_ca|census_tract_to_puma_2020|freddie_mac_pmms</x:v>
      </x:c>
    </x:row>
    <x:row r="136" ht="28" customHeight="1">
      <x:c r="A136" s="273" t="str">
        <x:v>acs_first_mortgage_debt_per_owner_unit</x:v>
      </x:c>
      <x:c r="B136" s="273" t="str">
        <x:v>First-mortgage debt per owner unit</x:v>
      </x:c>
      <x:c r="C136" s="273" t="str">
        <x:v>Canonical calibrated debt/equity/LTV - unavailable</x:v>
      </x:c>
      <x:c r="D136" s="281" t="str">
        <x:v>C</x:v>
      </x:c>
      <x:c r="E136" s="273" t="str">
        <x:v>acs_first_mortgage_debt_per_owner_unit_monthly_rt</x:v>
      </x:c>
      <x:c r="F136" s="273" t="str">
        <x:v>USD/unit</x:v>
      </x:c>
      <x:c r="G136" s="273" t="str">
        <x:v>canonical_null</x:v>
      </x:c>
      <x:c r="H136" s="273" t="str">
        <x:v>Explicit null</x:v>
      </x:c>
      <x:c r="I136" s="274" t="n">
        <x:v>3248</x:v>
      </x:c>
      <x:c r="J136" s="274" t="n">
        <x:v>0</x:v>
      </x:c>
      <x:c r="K136" s="274" t="n">
        <x:v>3248</x:v>
      </x:c>
      <x:c r="L136" s="274" t="n">
        <x:v>58</x:v>
      </x:c>
      <x:c r="M136" s="275" t="n">
        <x:v>44592</x:v>
      </x:c>
      <x:c r="N136" s="275" t="n">
        <x:v>46265</x:v>
      </x:c>
      <x:c r="O136" s="274" t="n">
        <x:v>0</x:v>
      </x:c>
      <x:c r="P136" s="274" t="n">
        <x:v>0</x:v>
      </x:c>
      <x:c r="Q136" s="274" t="n">
        <x:v>0</x:v>
      </x:c>
      <x:c r="R136" s="274" t="n">
        <x:v>0</x:v>
      </x:c>
      <x:c r="S136" s="273" t="str">
        <x:v>census_acs5_finance|census_acs5_pums_housing_ca|census_tract_to_puma_2020|freddie_mac_pmms</x:v>
      </x:c>
    </x:row>
    <x:row r="137" ht="28" customHeight="1">
      <x:c r="A137" s="273" t="str">
        <x:v>acs_first_mortgage_debt_per_capita</x:v>
      </x:c>
      <x:c r="B137" s="273" t="str">
        <x:v>First-mortgage debt per capita</x:v>
      </x:c>
      <x:c r="C137" s="273" t="str">
        <x:v>Canonical calibrated debt/equity/LTV - unavailable</x:v>
      </x:c>
      <x:c r="D137" s="277" t="str">
        <x:v>A</x:v>
      </x:c>
      <x:c r="E137" s="273" t="str">
        <x:v>acs_first_mortgage_debt_per_capita_benchmark</x:v>
      </x:c>
      <x:c r="F137" s="273" t="str">
        <x:v>USD/person</x:v>
      </x:c>
      <x:c r="G137" s="273" t="str">
        <x:v>Explicit null</x:v>
      </x:c>
      <x:c r="H137" s="273" t="str">
        <x:v>Explicit null</x:v>
      </x:c>
      <x:c r="I137" s="274" t="n">
        <x:v>58</x:v>
      </x:c>
      <x:c r="J137" s="274" t="n">
        <x:v>0</x:v>
      </x:c>
      <x:c r="K137" s="274" t="n">
        <x:v>58</x:v>
      </x:c>
      <x:c r="L137" s="274" t="n">
        <x:v>58</x:v>
      </x:c>
      <x:c r="M137" s="275" t="n">
        <x:v>44743</x:v>
      </x:c>
      <x:c r="N137" s="275" t="n">
        <x:v>44743</x:v>
      </x:c>
      <x:c r="O137" s="274" t="n">
        <x:v>0</x:v>
      </x:c>
      <x:c r="P137" s="274" t="n">
        <x:v>0</x:v>
      </x:c>
      <x:c r="Q137" s="274" t="n">
        <x:v>0</x:v>
      </x:c>
      <x:c r="R137" s="274" t="n">
        <x:v>0</x:v>
      </x:c>
      <x:c r="S137" s="273" t="str">
        <x:v>census_acs5_finance|census_acs5_pums_housing_ca|census_tract_to_puma_2020|freddie_mac_pmms</x:v>
      </x:c>
    </x:row>
    <x:row r="138" ht="28" customHeight="1">
      <x:c r="A138" s="273" t="str">
        <x:v>acs_first_mortgage_debt_per_capita</x:v>
      </x:c>
      <x:c r="B138" s="273" t="str">
        <x:v>First-mortgage debt per capita</x:v>
      </x:c>
      <x:c r="C138" s="273" t="str">
        <x:v>Canonical calibrated debt/equity/LTV - unavailable</x:v>
      </x:c>
      <x:c r="D138" s="279" t="str">
        <x:v>B</x:v>
      </x:c>
      <x:c r="E138" s="273" t="str">
        <x:v>acs_first_mortgage_debt_per_capita_monthly_hist</x:v>
      </x:c>
      <x:c r="F138" s="273" t="str">
        <x:v>USD/person</x:v>
      </x:c>
      <x:c r="G138" s="273" t="str">
        <x:v>canonical_null</x:v>
      </x:c>
      <x:c r="H138" s="273" t="str">
        <x:v>Explicit null</x:v>
      </x:c>
      <x:c r="I138" s="274" t="n">
        <x:v>9106</x:v>
      </x:c>
      <x:c r="J138" s="274" t="n">
        <x:v>0</x:v>
      </x:c>
      <x:c r="K138" s="274" t="n">
        <x:v>9106</x:v>
      </x:c>
      <x:c r="L138" s="274" t="n">
        <x:v>58</x:v>
      </x:c>
      <x:c r="M138" s="275" t="n">
        <x:v>41364</x:v>
      </x:c>
      <x:c r="N138" s="275" t="n">
        <x:v>46112</x:v>
      </x:c>
      <x:c r="O138" s="274" t="n">
        <x:v>0</x:v>
      </x:c>
      <x:c r="P138" s="274" t="n">
        <x:v>0</x:v>
      </x:c>
      <x:c r="Q138" s="274" t="n">
        <x:v>0</x:v>
      </x:c>
      <x:c r="R138" s="274" t="n">
        <x:v>0</x:v>
      </x:c>
      <x:c r="S138" s="273" t="str">
        <x:v>census_acs5_finance|census_acs5_pums_housing_ca|census_tract_to_puma_2020|freddie_mac_pmms</x:v>
      </x:c>
    </x:row>
    <x:row r="139" ht="28" customHeight="1">
      <x:c r="A139" s="273" t="str">
        <x:v>acs_first_mortgage_debt_per_capita</x:v>
      </x:c>
      <x:c r="B139" s="273" t="str">
        <x:v>First-mortgage debt per capita</x:v>
      </x:c>
      <x:c r="C139" s="273" t="str">
        <x:v>Canonical calibrated debt/equity/LTV - unavailable</x:v>
      </x:c>
      <x:c r="D139" s="281" t="str">
        <x:v>C</x:v>
      </x:c>
      <x:c r="E139" s="273" t="str">
        <x:v>acs_first_mortgage_debt_per_capita_monthly_rt</x:v>
      </x:c>
      <x:c r="F139" s="273" t="str">
        <x:v>USD/person</x:v>
      </x:c>
      <x:c r="G139" s="273" t="str">
        <x:v>canonical_null</x:v>
      </x:c>
      <x:c r="H139" s="273" t="str">
        <x:v>Explicit null</x:v>
      </x:c>
      <x:c r="I139" s="274" t="n">
        <x:v>3248</x:v>
      </x:c>
      <x:c r="J139" s="274" t="n">
        <x:v>0</x:v>
      </x:c>
      <x:c r="K139" s="274" t="n">
        <x:v>3248</x:v>
      </x:c>
      <x:c r="L139" s="274" t="n">
        <x:v>58</x:v>
      </x:c>
      <x:c r="M139" s="275" t="n">
        <x:v>44592</x:v>
      </x:c>
      <x:c r="N139" s="275" t="n">
        <x:v>46265</x:v>
      </x:c>
      <x:c r="O139" s="274" t="n">
        <x:v>0</x:v>
      </x:c>
      <x:c r="P139" s="274" t="n">
        <x:v>0</x:v>
      </x:c>
      <x:c r="Q139" s="274" t="n">
        <x:v>0</x:v>
      </x:c>
      <x:c r="R139" s="274" t="n">
        <x:v>0</x:v>
      </x:c>
      <x:c r="S139" s="273" t="str">
        <x:v>census_acs5_finance|census_acs5_pums_housing_ca|census_tract_to_puma_2020|freddie_mac_pmms</x:v>
      </x:c>
    </x:row>
    <x:row r="140" ht="28" customHeight="1">
      <x:c r="A140" s="273" t="str">
        <x:v>acs_first_mortgage_debt_to_owner_income</x:v>
      </x:c>
      <x:c r="B140" s="273" t="str">
        <x:v>First-mortgage debt to owner income</x:v>
      </x:c>
      <x:c r="C140" s="273" t="str">
        <x:v>Canonical calibrated debt/equity/LTV - unavailable</x:v>
      </x:c>
      <x:c r="D140" s="277" t="str">
        <x:v>A</x:v>
      </x:c>
      <x:c r="E140" s="273" t="str">
        <x:v>acs_first_mortgage_debt_to_owner_income_benchmark</x:v>
      </x:c>
      <x:c r="F140" s="273" t="str">
        <x:v>ratio</x:v>
      </x:c>
      <x:c r="G140" s="273" t="str">
        <x:v>Explicit null</x:v>
      </x:c>
      <x:c r="H140" s="273" t="str">
        <x:v>Explicit null</x:v>
      </x:c>
      <x:c r="I140" s="274" t="n">
        <x:v>58</x:v>
      </x:c>
      <x:c r="J140" s="274" t="n">
        <x:v>0</x:v>
      </x:c>
      <x:c r="K140" s="274" t="n">
        <x:v>58</x:v>
      </x:c>
      <x:c r="L140" s="274" t="n">
        <x:v>58</x:v>
      </x:c>
      <x:c r="M140" s="275" t="n">
        <x:v>44743</x:v>
      </x:c>
      <x:c r="N140" s="275" t="n">
        <x:v>44743</x:v>
      </x:c>
      <x:c r="O140" s="274" t="n">
        <x:v>0</x:v>
      </x:c>
      <x:c r="P140" s="274" t="n">
        <x:v>0</x:v>
      </x:c>
      <x:c r="Q140" s="274" t="n">
        <x:v>0</x:v>
      </x:c>
      <x:c r="R140" s="274" t="n">
        <x:v>0</x:v>
      </x:c>
      <x:c r="S140" s="273" t="str">
        <x:v>census_acs5_finance|census_acs5_pums_housing_ca|census_tract_to_puma_2020|freddie_mac_pmms</x:v>
      </x:c>
    </x:row>
    <x:row r="141" ht="28" customHeight="1">
      <x:c r="A141" s="273" t="str">
        <x:v>acs_first_mortgage_debt_to_owner_income</x:v>
      </x:c>
      <x:c r="B141" s="273" t="str">
        <x:v>First-mortgage debt to owner income</x:v>
      </x:c>
      <x:c r="C141" s="273" t="str">
        <x:v>Canonical calibrated debt/equity/LTV - unavailable</x:v>
      </x:c>
      <x:c r="D141" s="279" t="str">
        <x:v>B</x:v>
      </x:c>
      <x:c r="E141" s="273" t="str">
        <x:v>acs_first_mortgage_debt_to_owner_income_monthly_hist</x:v>
      </x:c>
      <x:c r="F141" s="273" t="str">
        <x:v>ratio</x:v>
      </x:c>
      <x:c r="G141" s="273" t="str">
        <x:v>canonical_null</x:v>
      </x:c>
      <x:c r="H141" s="273" t="str">
        <x:v>Explicit null</x:v>
      </x:c>
      <x:c r="I141" s="274" t="n">
        <x:v>9106</x:v>
      </x:c>
      <x:c r="J141" s="274" t="n">
        <x:v>0</x:v>
      </x:c>
      <x:c r="K141" s="274" t="n">
        <x:v>9106</x:v>
      </x:c>
      <x:c r="L141" s="274" t="n">
        <x:v>58</x:v>
      </x:c>
      <x:c r="M141" s="275" t="n">
        <x:v>41364</x:v>
      </x:c>
      <x:c r="N141" s="275" t="n">
        <x:v>46112</x:v>
      </x:c>
      <x:c r="O141" s="274" t="n">
        <x:v>0</x:v>
      </x:c>
      <x:c r="P141" s="274" t="n">
        <x:v>0</x:v>
      </x:c>
      <x:c r="Q141" s="274" t="n">
        <x:v>0</x:v>
      </x:c>
      <x:c r="R141" s="274" t="n">
        <x:v>0</x:v>
      </x:c>
      <x:c r="S141" s="273" t="str">
        <x:v>census_acs5_finance|census_acs5_pums_housing_ca|census_tract_to_puma_2020|freddie_mac_pmms</x:v>
      </x:c>
    </x:row>
    <x:row r="142" ht="28" customHeight="1">
      <x:c r="A142" s="273" t="str">
        <x:v>acs_first_mortgage_debt_to_owner_income</x:v>
      </x:c>
      <x:c r="B142" s="273" t="str">
        <x:v>First-mortgage debt to owner income</x:v>
      </x:c>
      <x:c r="C142" s="273" t="str">
        <x:v>Canonical calibrated debt/equity/LTV - unavailable</x:v>
      </x:c>
      <x:c r="D142" s="281" t="str">
        <x:v>C</x:v>
      </x:c>
      <x:c r="E142" s="273" t="str">
        <x:v>acs_first_mortgage_debt_to_owner_income_monthly_rt</x:v>
      </x:c>
      <x:c r="F142" s="273" t="str">
        <x:v>ratio</x:v>
      </x:c>
      <x:c r="G142" s="273" t="str">
        <x:v>canonical_null</x:v>
      </x:c>
      <x:c r="H142" s="273" t="str">
        <x:v>Explicit null</x:v>
      </x:c>
      <x:c r="I142" s="274" t="n">
        <x:v>3248</x:v>
      </x:c>
      <x:c r="J142" s="274" t="n">
        <x:v>0</x:v>
      </x:c>
      <x:c r="K142" s="274" t="n">
        <x:v>3248</x:v>
      </x:c>
      <x:c r="L142" s="274" t="n">
        <x:v>58</x:v>
      </x:c>
      <x:c r="M142" s="275" t="n">
        <x:v>44592</x:v>
      </x:c>
      <x:c r="N142" s="275" t="n">
        <x:v>46265</x:v>
      </x:c>
      <x:c r="O142" s="274" t="n">
        <x:v>0</x:v>
      </x:c>
      <x:c r="P142" s="274" t="n">
        <x:v>0</x:v>
      </x:c>
      <x:c r="Q142" s="274" t="n">
        <x:v>0</x:v>
      </x:c>
      <x:c r="R142" s="274" t="n">
        <x:v>0</x:v>
      </x:c>
      <x:c r="S142" s="273" t="str">
        <x:v>census_acs5_finance|census_acs5_pums_housing_ca|census_tract_to_puma_2020|freddie_mac_pmms</x:v>
      </x:c>
    </x:row>
    <x:row r="143" ht="28" customHeight="1">
      <x:c r="A143" s="273" t="str">
        <x:v>acs_implied_owner_occupied_home_equity_per_owner_unit</x:v>
      </x:c>
      <x:c r="B143" s="273" t="str">
        <x:v>Implied home equity per owner unit</x:v>
      </x:c>
      <x:c r="C143" s="273" t="str">
        <x:v>Canonical calibrated debt/equity/LTV - unavailable</x:v>
      </x:c>
      <x:c r="D143" s="277" t="str">
        <x:v>A</x:v>
      </x:c>
      <x:c r="E143" s="273" t="str">
        <x:v>acs_implied_owner_occupied_home_equity_per_owner_unit_benchmark</x:v>
      </x:c>
      <x:c r="F143" s="273" t="str">
        <x:v>USD/unit</x:v>
      </x:c>
      <x:c r="G143" s="273" t="str">
        <x:v>Explicit null</x:v>
      </x:c>
      <x:c r="H143" s="273" t="str">
        <x:v>Explicit null</x:v>
      </x:c>
      <x:c r="I143" s="274" t="n">
        <x:v>58</x:v>
      </x:c>
      <x:c r="J143" s="274" t="n">
        <x:v>0</x:v>
      </x:c>
      <x:c r="K143" s="274" t="n">
        <x:v>58</x:v>
      </x:c>
      <x:c r="L143" s="274" t="n">
        <x:v>58</x:v>
      </x:c>
      <x:c r="M143" s="275" t="n">
        <x:v>44743</x:v>
      </x:c>
      <x:c r="N143" s="275" t="n">
        <x:v>44743</x:v>
      </x:c>
      <x:c r="O143" s="274" t="n">
        <x:v>0</x:v>
      </x:c>
      <x:c r="P143" s="274" t="n">
        <x:v>0</x:v>
      </x:c>
      <x:c r="Q143" s="274" t="n">
        <x:v>0</x:v>
      </x:c>
      <x:c r="R143" s="274" t="n">
        <x:v>0</x:v>
      </x:c>
      <x:c r="S143" s="273" t="str">
        <x:v>census_acs5_finance|census_acs5_pums_housing_ca|census_tract_to_puma_2020|freddie_mac_pmms</x:v>
      </x:c>
    </x:row>
    <x:row r="144" ht="28" customHeight="1">
      <x:c r="A144" s="273" t="str">
        <x:v>acs_implied_owner_occupied_home_equity_per_owner_unit</x:v>
      </x:c>
      <x:c r="B144" s="273" t="str">
        <x:v>Implied home equity per owner unit</x:v>
      </x:c>
      <x:c r="C144" s="273" t="str">
        <x:v>Canonical calibrated debt/equity/LTV - unavailable</x:v>
      </x:c>
      <x:c r="D144" s="279" t="str">
        <x:v>B</x:v>
      </x:c>
      <x:c r="E144" s="273" t="str">
        <x:v>acs_implied_owner_occupied_home_equity_per_owner_unit_monthly_hist</x:v>
      </x:c>
      <x:c r="F144" s="273" t="str">
        <x:v>USD/unit</x:v>
      </x:c>
      <x:c r="G144" s="273" t="str">
        <x:v>canonical_null</x:v>
      </x:c>
      <x:c r="H144" s="273" t="str">
        <x:v>Explicit null</x:v>
      </x:c>
      <x:c r="I144" s="274" t="n">
        <x:v>9106</x:v>
      </x:c>
      <x:c r="J144" s="274" t="n">
        <x:v>0</x:v>
      </x:c>
      <x:c r="K144" s="274" t="n">
        <x:v>9106</x:v>
      </x:c>
      <x:c r="L144" s="274" t="n">
        <x:v>58</x:v>
      </x:c>
      <x:c r="M144" s="275" t="n">
        <x:v>41364</x:v>
      </x:c>
      <x:c r="N144" s="275" t="n">
        <x:v>46112</x:v>
      </x:c>
      <x:c r="O144" s="274" t="n">
        <x:v>0</x:v>
      </x:c>
      <x:c r="P144" s="274" t="n">
        <x:v>0</x:v>
      </x:c>
      <x:c r="Q144" s="274" t="n">
        <x:v>0</x:v>
      </x:c>
      <x:c r="R144" s="274" t="n">
        <x:v>0</x:v>
      </x:c>
      <x:c r="S144" s="273" t="str">
        <x:v>census_acs5_finance|census_acs5_pums_housing_ca|census_tract_to_puma_2020|freddie_mac_pmms</x:v>
      </x:c>
    </x:row>
    <x:row r="145" ht="28" customHeight="1">
      <x:c r="A145" s="273" t="str">
        <x:v>acs_implied_owner_occupied_home_equity_per_owner_unit</x:v>
      </x:c>
      <x:c r="B145" s="273" t="str">
        <x:v>Implied home equity per owner unit</x:v>
      </x:c>
      <x:c r="C145" s="273" t="str">
        <x:v>Canonical calibrated debt/equity/LTV - unavailable</x:v>
      </x:c>
      <x:c r="D145" s="281" t="str">
        <x:v>C</x:v>
      </x:c>
      <x:c r="E145" s="273" t="str">
        <x:v>acs_implied_owner_occupied_home_equity_per_owner_unit_monthly_rt</x:v>
      </x:c>
      <x:c r="F145" s="273" t="str">
        <x:v>USD/unit</x:v>
      </x:c>
      <x:c r="G145" s="273" t="str">
        <x:v>canonical_null</x:v>
      </x:c>
      <x:c r="H145" s="273" t="str">
        <x:v>Explicit null</x:v>
      </x:c>
      <x:c r="I145" s="274" t="n">
        <x:v>3248</x:v>
      </x:c>
      <x:c r="J145" s="274" t="n">
        <x:v>0</x:v>
      </x:c>
      <x:c r="K145" s="274" t="n">
        <x:v>3248</x:v>
      </x:c>
      <x:c r="L145" s="274" t="n">
        <x:v>58</x:v>
      </x:c>
      <x:c r="M145" s="275" t="n">
        <x:v>44592</x:v>
      </x:c>
      <x:c r="N145" s="275" t="n">
        <x:v>46265</x:v>
      </x:c>
      <x:c r="O145" s="274" t="n">
        <x:v>0</x:v>
      </x:c>
      <x:c r="P145" s="274" t="n">
        <x:v>0</x:v>
      </x:c>
      <x:c r="Q145" s="274" t="n">
        <x:v>0</x:v>
      </x:c>
      <x:c r="R145" s="274" t="n">
        <x:v>0</x:v>
      </x:c>
      <x:c r="S145" s="273" t="str">
        <x:v>census_acs5_finance|census_acs5_pums_housing_ca|census_tract_to_puma_2020|freddie_mac_pmms</x:v>
      </x:c>
    </x:row>
    <x:row r="146" ht="28" customHeight="1">
      <x:c r="A146" s="273" t="str">
        <x:v>acs_implied_owner_occupied_home_equity_mortgaged_real_2024</x:v>
      </x:c>
      <x:c r="B146" s="273" t="str">
        <x:v>Implied mortgaged-owner home equity in constant 2024 dollars</x:v>
      </x:c>
      <x:c r="C146" s="273" t="str">
        <x:v>Canonical calibrated debt/equity/LTV - unavailable</x:v>
      </x:c>
      <x:c r="D146" s="277" t="str">
        <x:v>A</x:v>
      </x:c>
      <x:c r="E146" s="273" t="str">
        <x:v>acs_implied_owner_occupied_home_equity_mortgaged_real_2024_benchmark</x:v>
      </x:c>
      <x:c r="F146" s="273" t="str">
        <x:v>constant_2024_USD</x:v>
      </x:c>
      <x:c r="G146" s="273" t="str">
        <x:v>Explicit null</x:v>
      </x:c>
      <x:c r="H146" s="273" t="str">
        <x:v>Explicit null</x:v>
      </x:c>
      <x:c r="I146" s="274" t="n">
        <x:v>58</x:v>
      </x:c>
      <x:c r="J146" s="274" t="n">
        <x:v>0</x:v>
      </x:c>
      <x:c r="K146" s="274" t="n">
        <x:v>58</x:v>
      </x:c>
      <x:c r="L146" s="274" t="n">
        <x:v>58</x:v>
      </x:c>
      <x:c r="M146" s="275" t="n">
        <x:v>44743</x:v>
      </x:c>
      <x:c r="N146" s="275" t="n">
        <x:v>44743</x:v>
      </x:c>
      <x:c r="O146" s="274" t="n">
        <x:v>0</x:v>
      </x:c>
      <x:c r="P146" s="274" t="n">
        <x:v>0</x:v>
      </x:c>
      <x:c r="Q146" s="274" t="n">
        <x:v>0</x:v>
      </x:c>
      <x:c r="R146" s="274" t="n">
        <x:v>0</x:v>
      </x:c>
      <x:c r="S146" s="273" t="str">
        <x:v>census_acs5_finance|census_acs5_pums_housing_ca|census_tract_to_puma_2020|freddie_mac_pmms|bls_cpi_u_us_city_average</x:v>
      </x:c>
    </x:row>
    <x:row r="147" ht="28" customHeight="1">
      <x:c r="A147" s="273" t="str">
        <x:v>acs_implied_owner_occupied_home_equity_mortgaged_real_2024</x:v>
      </x:c>
      <x:c r="B147" s="273" t="str">
        <x:v>Implied mortgaged-owner home equity in constant 2024 dollars</x:v>
      </x:c>
      <x:c r="C147" s="273" t="str">
        <x:v>Canonical calibrated debt/equity/LTV - unavailable</x:v>
      </x:c>
      <x:c r="D147" s="279" t="str">
        <x:v>B</x:v>
      </x:c>
      <x:c r="E147" s="273" t="str">
        <x:v>acs_implied_owner_occupied_home_equity_mortgaged_real_2024_monthly_hist</x:v>
      </x:c>
      <x:c r="F147" s="273" t="str">
        <x:v>constant_2024_USD</x:v>
      </x:c>
      <x:c r="G147" s="273" t="str">
        <x:v>canonical_null</x:v>
      </x:c>
      <x:c r="H147" s="273" t="str">
        <x:v>Explicit null</x:v>
      </x:c>
      <x:c r="I147" s="274" t="n">
        <x:v>9106</x:v>
      </x:c>
      <x:c r="J147" s="274" t="n">
        <x:v>0</x:v>
      </x:c>
      <x:c r="K147" s="274" t="n">
        <x:v>9106</x:v>
      </x:c>
      <x:c r="L147" s="274" t="n">
        <x:v>58</x:v>
      </x:c>
      <x:c r="M147" s="275" t="n">
        <x:v>41364</x:v>
      </x:c>
      <x:c r="N147" s="275" t="n">
        <x:v>46112</x:v>
      </x:c>
      <x:c r="O147" s="274" t="n">
        <x:v>0</x:v>
      </x:c>
      <x:c r="P147" s="274" t="n">
        <x:v>0</x:v>
      </x:c>
      <x:c r="Q147" s="274" t="n">
        <x:v>0</x:v>
      </x:c>
      <x:c r="R147" s="274" t="n">
        <x:v>0</x:v>
      </x:c>
      <x:c r="S147" s="273" t="str">
        <x:v>census_acs5_finance|census_acs5_pums_housing_ca|census_tract_to_puma_2020|freddie_mac_pmms|bls_cpi_u_us_city_average</x:v>
      </x:c>
    </x:row>
    <x:row r="148" ht="28" customHeight="1">
      <x:c r="A148" s="273" t="str">
        <x:v>acs_implied_owner_occupied_home_equity_mortgaged_real_2024</x:v>
      </x:c>
      <x:c r="B148" s="273" t="str">
        <x:v>Implied mortgaged-owner home equity in constant 2024 dollars</x:v>
      </x:c>
      <x:c r="C148" s="273" t="str">
        <x:v>Canonical calibrated debt/equity/LTV - unavailable</x:v>
      </x:c>
      <x:c r="D148" s="281" t="str">
        <x:v>C</x:v>
      </x:c>
      <x:c r="E148" s="273" t="str">
        <x:v>acs_implied_owner_occupied_home_equity_mortgaged_real_2024_monthly_rt</x:v>
      </x:c>
      <x:c r="F148" s="273" t="str">
        <x:v>constant_2024_USD</x:v>
      </x:c>
      <x:c r="G148" s="273" t="str">
        <x:v>canonical_null</x:v>
      </x:c>
      <x:c r="H148" s="273" t="str">
        <x:v>Explicit null</x:v>
      </x:c>
      <x:c r="I148" s="274" t="n">
        <x:v>3248</x:v>
      </x:c>
      <x:c r="J148" s="274" t="n">
        <x:v>0</x:v>
      </x:c>
      <x:c r="K148" s="274" t="n">
        <x:v>3248</x:v>
      </x:c>
      <x:c r="L148" s="274" t="n">
        <x:v>58</x:v>
      </x:c>
      <x:c r="M148" s="275" t="n">
        <x:v>44592</x:v>
      </x:c>
      <x:c r="N148" s="275" t="n">
        <x:v>46265</x:v>
      </x:c>
      <x:c r="O148" s="274" t="n">
        <x:v>0</x:v>
      </x:c>
      <x:c r="P148" s="274" t="n">
        <x:v>0</x:v>
      </x:c>
      <x:c r="Q148" s="274" t="n">
        <x:v>0</x:v>
      </x:c>
      <x:c r="R148" s="274" t="n">
        <x:v>0</x:v>
      </x:c>
      <x:c r="S148" s="273" t="str">
        <x:v>census_acs5_finance|census_acs5_pums_housing_ca|census_tract_to_puma_2020|freddie_mac_pmms|bls_cpi_u_us_city_average</x:v>
      </x:c>
    </x:row>
    <x:row r="149" ht="28" customHeight="1">
      <x:c r="A149" s="273" t="str">
        <x:v>acs_implied_owner_occupied_home_equity_all_real_2024</x:v>
      </x:c>
      <x:c r="B149" s="273" t="str">
        <x:v>Implied all-owner home equity in constant 2024 dollars</x:v>
      </x:c>
      <x:c r="C149" s="273" t="str">
        <x:v>Canonical calibrated debt/equity/LTV - unavailable</x:v>
      </x:c>
      <x:c r="D149" s="277" t="str">
        <x:v>A</x:v>
      </x:c>
      <x:c r="E149" s="273" t="str">
        <x:v>acs_implied_owner_occupied_home_equity_all_real_2024_benchmark</x:v>
      </x:c>
      <x:c r="F149" s="273" t="str">
        <x:v>constant_2024_USD</x:v>
      </x:c>
      <x:c r="G149" s="273" t="str">
        <x:v>Explicit null</x:v>
      </x:c>
      <x:c r="H149" s="273" t="str">
        <x:v>Explicit null</x:v>
      </x:c>
      <x:c r="I149" s="274" t="n">
        <x:v>58</x:v>
      </x:c>
      <x:c r="J149" s="274" t="n">
        <x:v>0</x:v>
      </x:c>
      <x:c r="K149" s="274" t="n">
        <x:v>58</x:v>
      </x:c>
      <x:c r="L149" s="274" t="n">
        <x:v>58</x:v>
      </x:c>
      <x:c r="M149" s="275" t="n">
        <x:v>44743</x:v>
      </x:c>
      <x:c r="N149" s="275" t="n">
        <x:v>44743</x:v>
      </x:c>
      <x:c r="O149" s="274" t="n">
        <x:v>0</x:v>
      </x:c>
      <x:c r="P149" s="274" t="n">
        <x:v>0</x:v>
      </x:c>
      <x:c r="Q149" s="274" t="n">
        <x:v>0</x:v>
      </x:c>
      <x:c r="R149" s="274" t="n">
        <x:v>0</x:v>
      </x:c>
      <x:c r="S149" s="273" t="str">
        <x:v>census_acs5_finance|census_acs5_pums_housing_ca|census_tract_to_puma_2020|freddie_mac_pmms|bls_cpi_u_us_city_average</x:v>
      </x:c>
    </x:row>
    <x:row r="150" ht="28" customHeight="1">
      <x:c r="A150" s="273" t="str">
        <x:v>acs_implied_owner_occupied_home_equity_all_real_2024</x:v>
      </x:c>
      <x:c r="B150" s="273" t="str">
        <x:v>Implied all-owner home equity in constant 2024 dollars</x:v>
      </x:c>
      <x:c r="C150" s="273" t="str">
        <x:v>Canonical calibrated debt/equity/LTV - unavailable</x:v>
      </x:c>
      <x:c r="D150" s="279" t="str">
        <x:v>B</x:v>
      </x:c>
      <x:c r="E150" s="273" t="str">
        <x:v>acs_implied_owner_occupied_home_equity_all_real_2024_monthly_hist</x:v>
      </x:c>
      <x:c r="F150" s="273" t="str">
        <x:v>constant_2024_USD</x:v>
      </x:c>
      <x:c r="G150" s="273" t="str">
        <x:v>canonical_null</x:v>
      </x:c>
      <x:c r="H150" s="273" t="str">
        <x:v>Explicit null</x:v>
      </x:c>
      <x:c r="I150" s="274" t="n">
        <x:v>9106</x:v>
      </x:c>
      <x:c r="J150" s="274" t="n">
        <x:v>0</x:v>
      </x:c>
      <x:c r="K150" s="274" t="n">
        <x:v>9106</x:v>
      </x:c>
      <x:c r="L150" s="274" t="n">
        <x:v>58</x:v>
      </x:c>
      <x:c r="M150" s="275" t="n">
        <x:v>41364</x:v>
      </x:c>
      <x:c r="N150" s="275" t="n">
        <x:v>46112</x:v>
      </x:c>
      <x:c r="O150" s="274" t="n">
        <x:v>0</x:v>
      </x:c>
      <x:c r="P150" s="274" t="n">
        <x:v>0</x:v>
      </x:c>
      <x:c r="Q150" s="274" t="n">
        <x:v>0</x:v>
      </x:c>
      <x:c r="R150" s="274" t="n">
        <x:v>0</x:v>
      </x:c>
      <x:c r="S150" s="273" t="str">
        <x:v>census_acs5_finance|census_acs5_pums_housing_ca|census_tract_to_puma_2020|freddie_mac_pmms|bls_cpi_u_us_city_average</x:v>
      </x:c>
    </x:row>
    <x:row r="151" ht="28" customHeight="1">
      <x:c r="A151" s="273" t="str">
        <x:v>acs_implied_owner_occupied_home_equity_all_real_2024</x:v>
      </x:c>
      <x:c r="B151" s="273" t="str">
        <x:v>Implied all-owner home equity in constant 2024 dollars</x:v>
      </x:c>
      <x:c r="C151" s="273" t="str">
        <x:v>Canonical calibrated debt/equity/LTV - unavailable</x:v>
      </x:c>
      <x:c r="D151" s="281" t="str">
        <x:v>C</x:v>
      </x:c>
      <x:c r="E151" s="273" t="str">
        <x:v>acs_implied_owner_occupied_home_equity_all_real_2024_monthly_rt</x:v>
      </x:c>
      <x:c r="F151" s="273" t="str">
        <x:v>constant_2024_USD</x:v>
      </x:c>
      <x:c r="G151" s="273" t="str">
        <x:v>canonical_null</x:v>
      </x:c>
      <x:c r="H151" s="273" t="str">
        <x:v>Explicit null</x:v>
      </x:c>
      <x:c r="I151" s="274" t="n">
        <x:v>3248</x:v>
      </x:c>
      <x:c r="J151" s="274" t="n">
        <x:v>0</x:v>
      </x:c>
      <x:c r="K151" s="274" t="n">
        <x:v>3248</x:v>
      </x:c>
      <x:c r="L151" s="274" t="n">
        <x:v>58</x:v>
      </x:c>
      <x:c r="M151" s="275" t="n">
        <x:v>44592</x:v>
      </x:c>
      <x:c r="N151" s="275" t="n">
        <x:v>46265</x:v>
      </x:c>
      <x:c r="O151" s="274" t="n">
        <x:v>0</x:v>
      </x:c>
      <x:c r="P151" s="274" t="n">
        <x:v>0</x:v>
      </x:c>
      <x:c r="Q151" s="274" t="n">
        <x:v>0</x:v>
      </x:c>
      <x:c r="R151" s="274" t="n">
        <x:v>0</x:v>
      </x:c>
      <x:c r="S151" s="273" t="str">
        <x:v>census_acs5_finance|census_acs5_pums_housing_ca|census_tract_to_puma_2020|freddie_mac_pmms|bls_cpi_u_us_city_average</x:v>
      </x:c>
    </x:row>
    <x:row r="152" ht="28" customHeight="1">
      <x:c r="A152" s="273" t="str">
        <x:v>acs_aggregate_ltv_mortgaged</x:v>
      </x:c>
      <x:c r="B152" s="273" t="str">
        <x:v>Aggregate mortgaged-owner LTV</x:v>
      </x:c>
      <x:c r="C152" s="273" t="str">
        <x:v>Canonical calibrated debt/equity/LTV - unavailable</x:v>
      </x:c>
      <x:c r="D152" s="277" t="str">
        <x:v>A</x:v>
      </x:c>
      <x:c r="E152" s="273" t="str">
        <x:v>acs_aggregate_ltv_mortgaged_benchmark</x:v>
      </x:c>
      <x:c r="F152" s="273" t="str">
        <x:v>ratio</x:v>
      </x:c>
      <x:c r="G152" s="273" t="str">
        <x:v>Explicit null</x:v>
      </x:c>
      <x:c r="H152" s="273" t="str">
        <x:v>Explicit null</x:v>
      </x:c>
      <x:c r="I152" s="274" t="n">
        <x:v>58</x:v>
      </x:c>
      <x:c r="J152" s="274" t="n">
        <x:v>0</x:v>
      </x:c>
      <x:c r="K152" s="274" t="n">
        <x:v>58</x:v>
      </x:c>
      <x:c r="L152" s="274" t="n">
        <x:v>58</x:v>
      </x:c>
      <x:c r="M152" s="275" t="n">
        <x:v>44743</x:v>
      </x:c>
      <x:c r="N152" s="275" t="n">
        <x:v>44743</x:v>
      </x:c>
      <x:c r="O152" s="274" t="n">
        <x:v>0</x:v>
      </x:c>
      <x:c r="P152" s="274" t="n">
        <x:v>0</x:v>
      </x:c>
      <x:c r="Q152" s="274" t="n">
        <x:v>0</x:v>
      </x:c>
      <x:c r="R152" s="274" t="n">
        <x:v>0</x:v>
      </x:c>
      <x:c r="S152" s="273" t="str">
        <x:v>census_acs5_finance|census_acs5_pums_housing_ca|census_tract_to_puma_2020|freddie_mac_pmms</x:v>
      </x:c>
    </x:row>
    <x:row r="153" ht="28" customHeight="1">
      <x:c r="A153" s="273" t="str">
        <x:v>acs_aggregate_ltv_mortgaged</x:v>
      </x:c>
      <x:c r="B153" s="273" t="str">
        <x:v>Aggregate mortgaged-owner LTV</x:v>
      </x:c>
      <x:c r="C153" s="273" t="str">
        <x:v>Canonical calibrated debt/equity/LTV - unavailable</x:v>
      </x:c>
      <x:c r="D153" s="279" t="str">
        <x:v>B</x:v>
      </x:c>
      <x:c r="E153" s="273" t="str">
        <x:v>acs_aggregate_ltv_mortgaged_monthly_hist</x:v>
      </x:c>
      <x:c r="F153" s="273" t="str">
        <x:v>ratio</x:v>
      </x:c>
      <x:c r="G153" s="273" t="str">
        <x:v>canonical_null</x:v>
      </x:c>
      <x:c r="H153" s="273" t="str">
        <x:v>Explicit null</x:v>
      </x:c>
      <x:c r="I153" s="274" t="n">
        <x:v>9106</x:v>
      </x:c>
      <x:c r="J153" s="274" t="n">
        <x:v>0</x:v>
      </x:c>
      <x:c r="K153" s="274" t="n">
        <x:v>9106</x:v>
      </x:c>
      <x:c r="L153" s="274" t="n">
        <x:v>58</x:v>
      </x:c>
      <x:c r="M153" s="275" t="n">
        <x:v>41364</x:v>
      </x:c>
      <x:c r="N153" s="275" t="n">
        <x:v>46112</x:v>
      </x:c>
      <x:c r="O153" s="274" t="n">
        <x:v>0</x:v>
      </x:c>
      <x:c r="P153" s="274" t="n">
        <x:v>0</x:v>
      </x:c>
      <x:c r="Q153" s="274" t="n">
        <x:v>0</x:v>
      </x:c>
      <x:c r="R153" s="274" t="n">
        <x:v>0</x:v>
      </x:c>
      <x:c r="S153" s="273" t="str">
        <x:v>census_acs5_finance|census_acs5_pums_housing_ca|census_tract_to_puma_2020|freddie_mac_pmms</x:v>
      </x:c>
    </x:row>
    <x:row r="154" ht="28" customHeight="1">
      <x:c r="A154" s="273" t="str">
        <x:v>acs_aggregate_ltv_mortgaged</x:v>
      </x:c>
      <x:c r="B154" s="273" t="str">
        <x:v>Aggregate mortgaged-owner LTV</x:v>
      </x:c>
      <x:c r="C154" s="273" t="str">
        <x:v>Canonical calibrated debt/equity/LTV - unavailable</x:v>
      </x:c>
      <x:c r="D154" s="281" t="str">
        <x:v>C</x:v>
      </x:c>
      <x:c r="E154" s="273" t="str">
        <x:v>acs_aggregate_ltv_mortgaged_monthly_rt</x:v>
      </x:c>
      <x:c r="F154" s="273" t="str">
        <x:v>ratio</x:v>
      </x:c>
      <x:c r="G154" s="273" t="str">
        <x:v>canonical_null</x:v>
      </x:c>
      <x:c r="H154" s="273" t="str">
        <x:v>Explicit null</x:v>
      </x:c>
      <x:c r="I154" s="274" t="n">
        <x:v>3248</x:v>
      </x:c>
      <x:c r="J154" s="274" t="n">
        <x:v>0</x:v>
      </x:c>
      <x:c r="K154" s="274" t="n">
        <x:v>3248</x:v>
      </x:c>
      <x:c r="L154" s="274" t="n">
        <x:v>58</x:v>
      </x:c>
      <x:c r="M154" s="275" t="n">
        <x:v>44592</x:v>
      </x:c>
      <x:c r="N154" s="275" t="n">
        <x:v>46265</x:v>
      </x:c>
      <x:c r="O154" s="274" t="n">
        <x:v>0</x:v>
      </x:c>
      <x:c r="P154" s="274" t="n">
        <x:v>0</x:v>
      </x:c>
      <x:c r="Q154" s="274" t="n">
        <x:v>0</x:v>
      </x:c>
      <x:c r="R154" s="274" t="n">
        <x:v>0</x:v>
      </x:c>
      <x:c r="S154" s="273" t="str">
        <x:v>census_acs5_finance|census_acs5_pums_housing_ca|census_tract_to_puma_2020|freddie_mac_pmms</x:v>
      </x:c>
    </x:row>
    <x:row r="155" ht="28" customHeight="1">
      <x:c r="A155" s="273" t="str">
        <x:v>acs_equity_rate_mortgaged</x:v>
      </x:c>
      <x:c r="B155" s="273" t="str">
        <x:v>Mortgaged-owner equity rate</x:v>
      </x:c>
      <x:c r="C155" s="273" t="str">
        <x:v>Canonical calibrated debt/equity/LTV - unavailable</x:v>
      </x:c>
      <x:c r="D155" s="277" t="str">
        <x:v>A</x:v>
      </x:c>
      <x:c r="E155" s="273" t="str">
        <x:v>acs_equity_rate_mortgaged_benchmark</x:v>
      </x:c>
      <x:c r="F155" s="273" t="str">
        <x:v>ratio</x:v>
      </x:c>
      <x:c r="G155" s="273" t="str">
        <x:v>Explicit null</x:v>
      </x:c>
      <x:c r="H155" s="273" t="str">
        <x:v>Explicit null</x:v>
      </x:c>
      <x:c r="I155" s="274" t="n">
        <x:v>58</x:v>
      </x:c>
      <x:c r="J155" s="274" t="n">
        <x:v>0</x:v>
      </x:c>
      <x:c r="K155" s="274" t="n">
        <x:v>58</x:v>
      </x:c>
      <x:c r="L155" s="274" t="n">
        <x:v>58</x:v>
      </x:c>
      <x:c r="M155" s="275" t="n">
        <x:v>44743</x:v>
      </x:c>
      <x:c r="N155" s="275" t="n">
        <x:v>44743</x:v>
      </x:c>
      <x:c r="O155" s="274" t="n">
        <x:v>0</x:v>
      </x:c>
      <x:c r="P155" s="274" t="n">
        <x:v>0</x:v>
      </x:c>
      <x:c r="Q155" s="274" t="n">
        <x:v>0</x:v>
      </x:c>
      <x:c r="R155" s="274" t="n">
        <x:v>0</x:v>
      </x:c>
      <x:c r="S155" s="273" t="str">
        <x:v>census_acs5_finance|census_acs5_pums_housing_ca|census_tract_to_puma_2020|freddie_mac_pmms</x:v>
      </x:c>
    </x:row>
    <x:row r="156" ht="28" customHeight="1">
      <x:c r="A156" s="273" t="str">
        <x:v>acs_equity_rate_mortgaged</x:v>
      </x:c>
      <x:c r="B156" s="273" t="str">
        <x:v>Mortgaged-owner equity rate</x:v>
      </x:c>
      <x:c r="C156" s="273" t="str">
        <x:v>Canonical calibrated debt/equity/LTV - unavailable</x:v>
      </x:c>
      <x:c r="D156" s="279" t="str">
        <x:v>B</x:v>
      </x:c>
      <x:c r="E156" s="273" t="str">
        <x:v>acs_equity_rate_mortgaged_monthly_hist</x:v>
      </x:c>
      <x:c r="F156" s="273" t="str">
        <x:v>ratio</x:v>
      </x:c>
      <x:c r="G156" s="273" t="str">
        <x:v>canonical_null</x:v>
      </x:c>
      <x:c r="H156" s="273" t="str">
        <x:v>Explicit null</x:v>
      </x:c>
      <x:c r="I156" s="274" t="n">
        <x:v>9106</x:v>
      </x:c>
      <x:c r="J156" s="274" t="n">
        <x:v>0</x:v>
      </x:c>
      <x:c r="K156" s="274" t="n">
        <x:v>9106</x:v>
      </x:c>
      <x:c r="L156" s="274" t="n">
        <x:v>58</x:v>
      </x:c>
      <x:c r="M156" s="275" t="n">
        <x:v>41364</x:v>
      </x:c>
      <x:c r="N156" s="275" t="n">
        <x:v>46112</x:v>
      </x:c>
      <x:c r="O156" s="274" t="n">
        <x:v>0</x:v>
      </x:c>
      <x:c r="P156" s="274" t="n">
        <x:v>0</x:v>
      </x:c>
      <x:c r="Q156" s="274" t="n">
        <x:v>0</x:v>
      </x:c>
      <x:c r="R156" s="274" t="n">
        <x:v>0</x:v>
      </x:c>
      <x:c r="S156" s="273" t="str">
        <x:v>census_acs5_finance|census_acs5_pums_housing_ca|census_tract_to_puma_2020|freddie_mac_pmms</x:v>
      </x:c>
    </x:row>
    <x:row r="157" ht="28" customHeight="1">
      <x:c r="A157" s="273" t="str">
        <x:v>acs_equity_rate_mortgaged</x:v>
      </x:c>
      <x:c r="B157" s="273" t="str">
        <x:v>Mortgaged-owner equity rate</x:v>
      </x:c>
      <x:c r="C157" s="273" t="str">
        <x:v>Canonical calibrated debt/equity/LTV - unavailable</x:v>
      </x:c>
      <x:c r="D157" s="281" t="str">
        <x:v>C</x:v>
      </x:c>
      <x:c r="E157" s="273" t="str">
        <x:v>acs_equity_rate_mortgaged_monthly_rt</x:v>
      </x:c>
      <x:c r="F157" s="273" t="str">
        <x:v>ratio</x:v>
      </x:c>
      <x:c r="G157" s="273" t="str">
        <x:v>canonical_null</x:v>
      </x:c>
      <x:c r="H157" s="273" t="str">
        <x:v>Explicit null</x:v>
      </x:c>
      <x:c r="I157" s="274" t="n">
        <x:v>3248</x:v>
      </x:c>
      <x:c r="J157" s="274" t="n">
        <x:v>0</x:v>
      </x:c>
      <x:c r="K157" s="274" t="n">
        <x:v>3248</x:v>
      </x:c>
      <x:c r="L157" s="274" t="n">
        <x:v>58</x:v>
      </x:c>
      <x:c r="M157" s="275" t="n">
        <x:v>44592</x:v>
      </x:c>
      <x:c r="N157" s="275" t="n">
        <x:v>46265</x:v>
      </x:c>
      <x:c r="O157" s="274" t="n">
        <x:v>0</x:v>
      </x:c>
      <x:c r="P157" s="274" t="n">
        <x:v>0</x:v>
      </x:c>
      <x:c r="Q157" s="274" t="n">
        <x:v>0</x:v>
      </x:c>
      <x:c r="R157" s="274" t="n">
        <x:v>0</x:v>
      </x:c>
      <x:c r="S157" s="273" t="str">
        <x:v>census_acs5_finance|census_acs5_pums_housing_ca|census_tract_to_puma_2020|freddie_mac_pmms</x:v>
      </x:c>
    </x:row>
    <x:row r="158" ht="28" customHeight="1">
      <x:c r="A158" s="273" t="str">
        <x:v>acs_implied_first_mortgage_balance_raw</x:v>
      </x:c>
      <x:c r="B158" s="273" t="str">
        <x:v>Raw implied first-mortgage balance</x:v>
      </x:c>
      <x:c r="C158" s="273" t="str">
        <x:v>Raw mortgage-debt path</x:v>
      </x:c>
      <x:c r="D158" s="277" t="str">
        <x:v>A</x:v>
      </x:c>
      <x:c r="E158" s="273" t="str">
        <x:v>acs_implied_first_mortgage_balance_raw_benchmark</x:v>
      </x:c>
      <x:c r="F158" s="273" t="str">
        <x:v>USD</x:v>
      </x:c>
      <x:c r="G158" s="273" t="str">
        <x:v>Fully populated</x:v>
      </x:c>
      <x:c r="H158" s="273" t="str">
        <x:v>Fully populated</x:v>
      </x:c>
      <x:c r="I158" s="274" t="n">
        <x:v>58</x:v>
      </x:c>
      <x:c r="J158" s="274" t="n">
        <x:v>58</x:v>
      </x:c>
      <x:c r="K158" s="274" t="n">
        <x:v>0</x:v>
      </x:c>
      <x:c r="L158" s="274" t="n">
        <x:v>58</x:v>
      </x:c>
      <x:c r="M158" s="275" t="n">
        <x:v>44743</x:v>
      </x:c>
      <x:c r="N158" s="275" t="n">
        <x:v>44743</x:v>
      </x:c>
      <x:c r="O158" s="274" t="n">
        <x:v>0</x:v>
      </x:c>
      <x:c r="P158" s="274" t="n">
        <x:v>0</x:v>
      </x:c>
      <x:c r="Q158" s="274" t="n">
        <x:v>0</x:v>
      </x:c>
      <x:c r="R158" s="274" t="n">
        <x:v>0</x:v>
      </x:c>
      <x:c r="S158" s="273" t="str">
        <x:v>census_acs5_finance|census_acs5_pums_housing_ca|census_tract_to_puma_2020|freddie_mac_pmms</x:v>
      </x:c>
    </x:row>
    <x:row r="159" ht="28" customHeight="1">
      <x:c r="A159" s="273" t="str">
        <x:v>acs_implied_first_mortgage_balance_raw</x:v>
      </x:c>
      <x:c r="B159" s="273" t="str">
        <x:v>Raw implied first-mortgage balance</x:v>
      </x:c>
      <x:c r="C159" s="273" t="str">
        <x:v>Raw mortgage-debt path</x:v>
      </x:c>
      <x:c r="D159" s="279" t="str">
        <x:v>B</x:v>
      </x:c>
      <x:c r="E159" s="273" t="str">
        <x:v>acs_implied_first_mortgage_balance_raw_monthly_hist</x:v>
      </x:c>
      <x:c r="F159" s="273" t="str">
        <x:v>USD</x:v>
      </x:c>
      <x:c r="G159" s="273" t="str">
        <x:v>scenario</x:v>
      </x:c>
      <x:c r="H159" s="273" t="str">
        <x:v>Partially populated</x:v>
      </x:c>
      <x:c r="I159" s="274" t="n">
        <x:v>9106</x:v>
      </x:c>
      <x:c r="J159" s="274" t="n">
        <x:v>6554</x:v>
      </x:c>
      <x:c r="K159" s="274" t="n">
        <x:v>2552</x:v>
      </x:c>
      <x:c r="L159" s="274" t="n">
        <x:v>58</x:v>
      </x:c>
      <x:c r="M159" s="275" t="n">
        <x:v>41364</x:v>
      </x:c>
      <x:c r="N159" s="275" t="n">
        <x:v>46112</x:v>
      </x:c>
      <x:c r="O159" s="274" t="n">
        <x:v>0</x:v>
      </x:c>
      <x:c r="P159" s="274" t="n">
        <x:v>6032</x:v>
      </x:c>
      <x:c r="Q159" s="274" t="n">
        <x:v>0</x:v>
      </x:c>
      <x:c r="R159" s="274" t="n">
        <x:v>0</x:v>
      </x:c>
      <x:c r="S159" s="273" t="str">
        <x:v>census_acs5_finance|census_acs5_pums_housing_ca|census_tract_to_puma_2020|freddie_mac_pmms|fhfa_nmdb_ca_upb | census_acs5_finance|census_acs5_pums_housing_ca|census_tract_to_puma_2020|freddie_mac_pmms|fhfa_nmdb_ca_upb|redfin_county_monthly</x:v>
      </x:c>
    </x:row>
    <x:row r="160" ht="28" customHeight="1">
      <x:c r="A160" s="273" t="str">
        <x:v>acs_implied_first_mortgage_balance_raw</x:v>
      </x:c>
      <x:c r="B160" s="273" t="str">
        <x:v>Raw implied first-mortgage balance</x:v>
      </x:c>
      <x:c r="C160" s="273" t="str">
        <x:v>Raw mortgage-debt path</x:v>
      </x:c>
      <x:c r="D160" s="281" t="str">
        <x:v>C</x:v>
      </x:c>
      <x:c r="E160" s="273" t="str">
        <x:v>acs_implied_first_mortgage_balance_raw_monthly_rt</x:v>
      </x:c>
      <x:c r="F160" s="273" t="str">
        <x:v>USD</x:v>
      </x:c>
      <x:c r="G160" s="273" t="str">
        <x:v>scenario</x:v>
      </x:c>
      <x:c r="H160" s="273" t="str">
        <x:v>Fully populated</x:v>
      </x:c>
      <x:c r="I160" s="274" t="n">
        <x:v>3248</x:v>
      </x:c>
      <x:c r="J160" s="274" t="n">
        <x:v>3248</x:v>
      </x:c>
      <x:c r="K160" s="274" t="n">
        <x:v>0</x:v>
      </x:c>
      <x:c r="L160" s="274" t="n">
        <x:v>58</x:v>
      </x:c>
      <x:c r="M160" s="275" t="n">
        <x:v>44592</x:v>
      </x:c>
      <x:c r="N160" s="275" t="n">
        <x:v>46265</x:v>
      </x:c>
      <x:c r="O160" s="274" t="n">
        <x:v>1160</x:v>
      </x:c>
      <x:c r="P160" s="274" t="n">
        <x:v>0</x:v>
      </x:c>
      <x:c r="Q160" s="274" t="n">
        <x:v>3190</x:v>
      </x:c>
      <x:c r="R160" s="274" t="n">
        <x:v>0</x:v>
      </x:c>
      <x:c r="S160" s="273" t="str">
        <x:v>census_acs5_finance|census_acs5_pums_housing_ca|census_tract_to_puma_2020|freddie_mac_pmms</x:v>
      </x:c>
    </x:row>
    <x:row r="161" ht="28" customHeight="1">
      <x:c r="A161" s="273" t="str">
        <x:v>acs_implied_first_mortgage_balance_raw_pmms_20y_sensitivity</x:v>
      </x:c>
      <x:c r="B161" s="273" t="str">
        <x:v>Raw implied first-mortgage balance PMMS 20-year sensitivity</x:v>
      </x:c>
      <x:c r="C161" s="273" t="str">
        <x:v>PMMS debt sensitivities</x:v>
      </x:c>
      <x:c r="D161" s="277" t="str">
        <x:v>A</x:v>
      </x:c>
      <x:c r="E161" s="273" t="str">
        <x:v>acs_implied_first_mortgage_balance_raw_pmms_20y_sensitivity_benchmark</x:v>
      </x:c>
      <x:c r="F161" s="273" t="str">
        <x:v>USD</x:v>
      </x:c>
      <x:c r="G161" s="273" t="str">
        <x:v>Fully populated</x:v>
      </x:c>
      <x:c r="H161" s="273" t="str">
        <x:v>Fully populated</x:v>
      </x:c>
      <x:c r="I161" s="274" t="n">
        <x:v>58</x:v>
      </x:c>
      <x:c r="J161" s="274" t="n">
        <x:v>58</x:v>
      </x:c>
      <x:c r="K161" s="274" t="n">
        <x:v>0</x:v>
      </x:c>
      <x:c r="L161" s="274" t="n">
        <x:v>58</x:v>
      </x:c>
      <x:c r="M161" s="275" t="n">
        <x:v>44743</x:v>
      </x:c>
      <x:c r="N161" s="275" t="n">
        <x:v>44743</x:v>
      </x:c>
      <x:c r="O161" s="274" t="n">
        <x:v>0</x:v>
      </x:c>
      <x:c r="P161" s="274" t="n">
        <x:v>0</x:v>
      </x:c>
      <x:c r="Q161" s="274" t="n">
        <x:v>0</x:v>
      </x:c>
      <x:c r="R161" s="274" t="n">
        <x:v>0</x:v>
      </x:c>
      <x:c r="S161" s="273" t="str">
        <x:v>census_acs5_finance|census_acs5_pums_housing_ca|census_tract_to_puma_2020|freddie_mac_pmms</x:v>
      </x:c>
    </x:row>
    <x:row r="162" ht="28" customHeight="1">
      <x:c r="A162" s="273" t="str">
        <x:v>acs_implied_first_mortgage_balance_raw_pmms_20y_sensitivity</x:v>
      </x:c>
      <x:c r="B162" s="273" t="str">
        <x:v>Raw implied first-mortgage balance PMMS 20-year sensitivity</x:v>
      </x:c>
      <x:c r="C162" s="273" t="str">
        <x:v>PMMS debt sensitivities</x:v>
      </x:c>
      <x:c r="D162" s="279" t="str">
        <x:v>B</x:v>
      </x:c>
      <x:c r="E162" s="273" t="str">
        <x:v>acs_implied_first_mortgage_balance_raw_pmms_20y_sensitivity_monthly_hist</x:v>
      </x:c>
      <x:c r="F162" s="273" t="str">
        <x:v>USD</x:v>
      </x:c>
      <x:c r="G162" s="273" t="str">
        <x:v>scenario</x:v>
      </x:c>
      <x:c r="H162" s="273" t="str">
        <x:v>Partially populated</x:v>
      </x:c>
      <x:c r="I162" s="274" t="n">
        <x:v>9106</x:v>
      </x:c>
      <x:c r="J162" s="274" t="n">
        <x:v>6554</x:v>
      </x:c>
      <x:c r="K162" s="274" t="n">
        <x:v>2552</x:v>
      </x:c>
      <x:c r="L162" s="274" t="n">
        <x:v>58</x:v>
      </x:c>
      <x:c r="M162" s="275" t="n">
        <x:v>41364</x:v>
      </x:c>
      <x:c r="N162" s="275" t="n">
        <x:v>46112</x:v>
      </x:c>
      <x:c r="O162" s="274" t="n">
        <x:v>0</x:v>
      </x:c>
      <x:c r="P162" s="274" t="n">
        <x:v>6032</x:v>
      </x:c>
      <x:c r="Q162" s="274" t="n">
        <x:v>0</x:v>
      </x:c>
      <x:c r="R162" s="274" t="n">
        <x:v>0</x:v>
      </x:c>
      <x:c r="S162" s="273" t="str">
        <x:v>census_acs5_finance|census_acs5_pums_housing_ca|census_tract_to_puma_2020|freddie_mac_pmms|fhfa_nmdb_ca_upb | census_acs5_finance|census_acs5_pums_housing_ca|census_tract_to_puma_2020|freddie_mac_pmms|fhfa_nmdb_ca_upb|redfin_county_monthly</x:v>
      </x:c>
    </x:row>
    <x:row r="163" ht="28" customHeight="1">
      <x:c r="A163" s="273" t="str">
        <x:v>acs_implied_first_mortgage_balance_raw_pmms_20y_sensitivity</x:v>
      </x:c>
      <x:c r="B163" s="273" t="str">
        <x:v>Raw implied first-mortgage balance PMMS 20-year sensitivity</x:v>
      </x:c>
      <x:c r="C163" s="273" t="str">
        <x:v>PMMS debt sensitivities</x:v>
      </x:c>
      <x:c r="D163" s="281" t="str">
        <x:v>C</x:v>
      </x:c>
      <x:c r="E163" s="273" t="str">
        <x:v>acs_implied_first_mortgage_balance_raw_pmms_20y_sensitivity_monthly_rt</x:v>
      </x:c>
      <x:c r="F163" s="273" t="str">
        <x:v>USD</x:v>
      </x:c>
      <x:c r="G163" s="273" t="str">
        <x:v>scenario</x:v>
      </x:c>
      <x:c r="H163" s="273" t="str">
        <x:v>Fully populated</x:v>
      </x:c>
      <x:c r="I163" s="274" t="n">
        <x:v>3248</x:v>
      </x:c>
      <x:c r="J163" s="274" t="n">
        <x:v>3248</x:v>
      </x:c>
      <x:c r="K163" s="274" t="n">
        <x:v>0</x:v>
      </x:c>
      <x:c r="L163" s="274" t="n">
        <x:v>58</x:v>
      </x:c>
      <x:c r="M163" s="275" t="n">
        <x:v>44592</x:v>
      </x:c>
      <x:c r="N163" s="275" t="n">
        <x:v>46265</x:v>
      </x:c>
      <x:c r="O163" s="274" t="n">
        <x:v>1160</x:v>
      </x:c>
      <x:c r="P163" s="274" t="n">
        <x:v>0</x:v>
      </x:c>
      <x:c r="Q163" s="274" t="n">
        <x:v>3190</x:v>
      </x:c>
      <x:c r="R163" s="274" t="n">
        <x:v>0</x:v>
      </x:c>
      <x:c r="S163" s="273" t="str">
        <x:v>census_acs5_finance|census_acs5_pums_housing_ca|census_tract_to_puma_2020|freddie_mac_pmms</x:v>
      </x:c>
    </x:row>
    <x:row r="164" ht="28" customHeight="1">
      <x:c r="A164" s="273" t="str">
        <x:v>acs_implied_first_mortgage_balance_raw_pmms_25y_sensitivity</x:v>
      </x:c>
      <x:c r="B164" s="273" t="str">
        <x:v>Raw implied first-mortgage balance PMMS 25-year sensitivity</x:v>
      </x:c>
      <x:c r="C164" s="273" t="str">
        <x:v>PMMS debt sensitivities</x:v>
      </x:c>
      <x:c r="D164" s="277" t="str">
        <x:v>A</x:v>
      </x:c>
      <x:c r="E164" s="273" t="str">
        <x:v>acs_implied_first_mortgage_balance_raw_pmms_25y_sensitivity_benchmark</x:v>
      </x:c>
      <x:c r="F164" s="273" t="str">
        <x:v>USD</x:v>
      </x:c>
      <x:c r="G164" s="273" t="str">
        <x:v>Fully populated</x:v>
      </x:c>
      <x:c r="H164" s="273" t="str">
        <x:v>Fully populated</x:v>
      </x:c>
      <x:c r="I164" s="274" t="n">
        <x:v>58</x:v>
      </x:c>
      <x:c r="J164" s="274" t="n">
        <x:v>58</x:v>
      </x:c>
      <x:c r="K164" s="274" t="n">
        <x:v>0</x:v>
      </x:c>
      <x:c r="L164" s="274" t="n">
        <x:v>58</x:v>
      </x:c>
      <x:c r="M164" s="275" t="n">
        <x:v>44743</x:v>
      </x:c>
      <x:c r="N164" s="275" t="n">
        <x:v>44743</x:v>
      </x:c>
      <x:c r="O164" s="274" t="n">
        <x:v>0</x:v>
      </x:c>
      <x:c r="P164" s="274" t="n">
        <x:v>0</x:v>
      </x:c>
      <x:c r="Q164" s="274" t="n">
        <x:v>0</x:v>
      </x:c>
      <x:c r="R164" s="274" t="n">
        <x:v>0</x:v>
      </x:c>
      <x:c r="S164" s="273" t="str">
        <x:v>census_acs5_finance|census_acs5_pums_housing_ca|census_tract_to_puma_2020|freddie_mac_pmms</x:v>
      </x:c>
    </x:row>
    <x:row r="165" ht="28" customHeight="1">
      <x:c r="A165" s="273" t="str">
        <x:v>acs_implied_first_mortgage_balance_raw_pmms_25y_sensitivity</x:v>
      </x:c>
      <x:c r="B165" s="273" t="str">
        <x:v>Raw implied first-mortgage balance PMMS 25-year sensitivity</x:v>
      </x:c>
      <x:c r="C165" s="273" t="str">
        <x:v>PMMS debt sensitivities</x:v>
      </x:c>
      <x:c r="D165" s="279" t="str">
        <x:v>B</x:v>
      </x:c>
      <x:c r="E165" s="273" t="str">
        <x:v>acs_implied_first_mortgage_balance_raw_pmms_25y_sensitivity_monthly_hist</x:v>
      </x:c>
      <x:c r="F165" s="273" t="str">
        <x:v>USD</x:v>
      </x:c>
      <x:c r="G165" s="273" t="str">
        <x:v>scenario</x:v>
      </x:c>
      <x:c r="H165" s="273" t="str">
        <x:v>Partially populated</x:v>
      </x:c>
      <x:c r="I165" s="274" t="n">
        <x:v>9106</x:v>
      </x:c>
      <x:c r="J165" s="274" t="n">
        <x:v>6554</x:v>
      </x:c>
      <x:c r="K165" s="274" t="n">
        <x:v>2552</x:v>
      </x:c>
      <x:c r="L165" s="274" t="n">
        <x:v>58</x:v>
      </x:c>
      <x:c r="M165" s="275" t="n">
        <x:v>41364</x:v>
      </x:c>
      <x:c r="N165" s="275" t="n">
        <x:v>46112</x:v>
      </x:c>
      <x:c r="O165" s="274" t="n">
        <x:v>0</x:v>
      </x:c>
      <x:c r="P165" s="274" t="n">
        <x:v>6032</x:v>
      </x:c>
      <x:c r="Q165" s="274" t="n">
        <x:v>0</x:v>
      </x:c>
      <x:c r="R165" s="274" t="n">
        <x:v>0</x:v>
      </x:c>
      <x:c r="S165" s="273" t="str">
        <x:v>census_acs5_finance|census_acs5_pums_housing_ca|census_tract_to_puma_2020|freddie_mac_pmms|fhfa_nmdb_ca_upb | census_acs5_finance|census_acs5_pums_housing_ca|census_tract_to_puma_2020|freddie_mac_pmms|fhfa_nmdb_ca_upb|redfin_county_monthly</x:v>
      </x:c>
    </x:row>
    <x:row r="166" ht="28" customHeight="1">
      <x:c r="A166" s="273" t="str">
        <x:v>acs_implied_first_mortgage_balance_raw_pmms_25y_sensitivity</x:v>
      </x:c>
      <x:c r="B166" s="273" t="str">
        <x:v>Raw implied first-mortgage balance PMMS 25-year sensitivity</x:v>
      </x:c>
      <x:c r="C166" s="273" t="str">
        <x:v>PMMS debt sensitivities</x:v>
      </x:c>
      <x:c r="D166" s="281" t="str">
        <x:v>C</x:v>
      </x:c>
      <x:c r="E166" s="273" t="str">
        <x:v>acs_implied_first_mortgage_balance_raw_pmms_25y_sensitivity_monthly_rt</x:v>
      </x:c>
      <x:c r="F166" s="273" t="str">
        <x:v>USD</x:v>
      </x:c>
      <x:c r="G166" s="273" t="str">
        <x:v>scenario</x:v>
      </x:c>
      <x:c r="H166" s="273" t="str">
        <x:v>Fully populated</x:v>
      </x:c>
      <x:c r="I166" s="274" t="n">
        <x:v>3248</x:v>
      </x:c>
      <x:c r="J166" s="274" t="n">
        <x:v>3248</x:v>
      </x:c>
      <x:c r="K166" s="274" t="n">
        <x:v>0</x:v>
      </x:c>
      <x:c r="L166" s="274" t="n">
        <x:v>58</x:v>
      </x:c>
      <x:c r="M166" s="275" t="n">
        <x:v>44592</x:v>
      </x:c>
      <x:c r="N166" s="275" t="n">
        <x:v>46265</x:v>
      </x:c>
      <x:c r="O166" s="274" t="n">
        <x:v>1160</x:v>
      </x:c>
      <x:c r="P166" s="274" t="n">
        <x:v>0</x:v>
      </x:c>
      <x:c r="Q166" s="274" t="n">
        <x:v>3190</x:v>
      </x:c>
      <x:c r="R166" s="274" t="n">
        <x:v>0</x:v>
      </x:c>
      <x:c r="S166" s="273" t="str">
        <x:v>census_acs5_finance|census_acs5_pums_housing_ca|census_tract_to_puma_2020|freddie_mac_pmms</x:v>
      </x:c>
    </x:row>
    <x:row r="167" ht="28" customHeight="1">
      <x:c r="A167" s="273" t="str">
        <x:v>acs_implied_first_mortgage_balance_raw_pmms_30y_sensitivity</x:v>
      </x:c>
      <x:c r="B167" s="273" t="str">
        <x:v>Raw implied first-mortgage balance PMMS 30-year sensitivity</x:v>
      </x:c>
      <x:c r="C167" s="273" t="str">
        <x:v>PMMS debt sensitivities</x:v>
      </x:c>
      <x:c r="D167" s="277" t="str">
        <x:v>A</x:v>
      </x:c>
      <x:c r="E167" s="273" t="str">
        <x:v>acs_implied_first_mortgage_balance_raw_pmms_30y_sensitivity_benchmark</x:v>
      </x:c>
      <x:c r="F167" s="273" t="str">
        <x:v>USD</x:v>
      </x:c>
      <x:c r="G167" s="273" t="str">
        <x:v>Fully populated</x:v>
      </x:c>
      <x:c r="H167" s="273" t="str">
        <x:v>Fully populated</x:v>
      </x:c>
      <x:c r="I167" s="274" t="n">
        <x:v>58</x:v>
      </x:c>
      <x:c r="J167" s="274" t="n">
        <x:v>58</x:v>
      </x:c>
      <x:c r="K167" s="274" t="n">
        <x:v>0</x:v>
      </x:c>
      <x:c r="L167" s="274" t="n">
        <x:v>58</x:v>
      </x:c>
      <x:c r="M167" s="275" t="n">
        <x:v>44743</x:v>
      </x:c>
      <x:c r="N167" s="275" t="n">
        <x:v>44743</x:v>
      </x:c>
      <x:c r="O167" s="274" t="n">
        <x:v>0</x:v>
      </x:c>
      <x:c r="P167" s="274" t="n">
        <x:v>0</x:v>
      </x:c>
      <x:c r="Q167" s="274" t="n">
        <x:v>0</x:v>
      </x:c>
      <x:c r="R167" s="274" t="n">
        <x:v>0</x:v>
      </x:c>
      <x:c r="S167" s="273" t="str">
        <x:v>census_acs5_finance|census_acs5_pums_housing_ca|census_tract_to_puma_2020|freddie_mac_pmms</x:v>
      </x:c>
    </x:row>
    <x:row r="168" ht="28" customHeight="1">
      <x:c r="A168" s="273" t="str">
        <x:v>acs_implied_first_mortgage_balance_raw_pmms_30y_sensitivity</x:v>
      </x:c>
      <x:c r="B168" s="273" t="str">
        <x:v>Raw implied first-mortgage balance PMMS 30-year sensitivity</x:v>
      </x:c>
      <x:c r="C168" s="273" t="str">
        <x:v>PMMS debt sensitivities</x:v>
      </x:c>
      <x:c r="D168" s="279" t="str">
        <x:v>B</x:v>
      </x:c>
      <x:c r="E168" s="273" t="str">
        <x:v>acs_implied_first_mortgage_balance_raw_pmms_30y_sensitivity_monthly_hist</x:v>
      </x:c>
      <x:c r="F168" s="273" t="str">
        <x:v>USD</x:v>
      </x:c>
      <x:c r="G168" s="273" t="str">
        <x:v>scenario</x:v>
      </x:c>
      <x:c r="H168" s="273" t="str">
        <x:v>Partially populated</x:v>
      </x:c>
      <x:c r="I168" s="274" t="n">
        <x:v>9106</x:v>
      </x:c>
      <x:c r="J168" s="274" t="n">
        <x:v>6554</x:v>
      </x:c>
      <x:c r="K168" s="274" t="n">
        <x:v>2552</x:v>
      </x:c>
      <x:c r="L168" s="274" t="n">
        <x:v>58</x:v>
      </x:c>
      <x:c r="M168" s="275" t="n">
        <x:v>41364</x:v>
      </x:c>
      <x:c r="N168" s="275" t="n">
        <x:v>46112</x:v>
      </x:c>
      <x:c r="O168" s="274" t="n">
        <x:v>0</x:v>
      </x:c>
      <x:c r="P168" s="274" t="n">
        <x:v>6032</x:v>
      </x:c>
      <x:c r="Q168" s="274" t="n">
        <x:v>0</x:v>
      </x:c>
      <x:c r="R168" s="274" t="n">
        <x:v>0</x:v>
      </x:c>
      <x:c r="S168" s="273" t="str">
        <x:v>census_acs5_finance|census_acs5_pums_housing_ca|census_tract_to_puma_2020|freddie_mac_pmms|fhfa_nmdb_ca_upb | census_acs5_finance|census_acs5_pums_housing_ca|census_tract_to_puma_2020|freddie_mac_pmms|fhfa_nmdb_ca_upb|redfin_county_monthly</x:v>
      </x:c>
    </x:row>
    <x:row r="169" ht="28" customHeight="1">
      <x:c r="A169" s="273" t="str">
        <x:v>acs_implied_first_mortgage_balance_raw_pmms_30y_sensitivity</x:v>
      </x:c>
      <x:c r="B169" s="273" t="str">
        <x:v>Raw implied first-mortgage balance PMMS 30-year sensitivity</x:v>
      </x:c>
      <x:c r="C169" s="273" t="str">
        <x:v>PMMS debt sensitivities</x:v>
      </x:c>
      <x:c r="D169" s="281" t="str">
        <x:v>C</x:v>
      </x:c>
      <x:c r="E169" s="273" t="str">
        <x:v>acs_implied_first_mortgage_balance_raw_pmms_30y_sensitivity_monthly_rt</x:v>
      </x:c>
      <x:c r="F169" s="273" t="str">
        <x:v>USD</x:v>
      </x:c>
      <x:c r="G169" s="273" t="str">
        <x:v>scenario</x:v>
      </x:c>
      <x:c r="H169" s="273" t="str">
        <x:v>Fully populated</x:v>
      </x:c>
      <x:c r="I169" s="274" t="n">
        <x:v>3248</x:v>
      </x:c>
      <x:c r="J169" s="274" t="n">
        <x:v>3248</x:v>
      </x:c>
      <x:c r="K169" s="274" t="n">
        <x:v>0</x:v>
      </x:c>
      <x:c r="L169" s="274" t="n">
        <x:v>58</x:v>
      </x:c>
      <x:c r="M169" s="275" t="n">
        <x:v>44592</x:v>
      </x:c>
      <x:c r="N169" s="275" t="n">
        <x:v>46265</x:v>
      </x:c>
      <x:c r="O169" s="274" t="n">
        <x:v>1160</x:v>
      </x:c>
      <x:c r="P169" s="274" t="n">
        <x:v>0</x:v>
      </x:c>
      <x:c r="Q169" s="274" t="n">
        <x:v>3190</x:v>
      </x:c>
      <x:c r="R169" s="274" t="n">
        <x:v>0</x:v>
      </x:c>
      <x:c r="S169" s="273" t="str">
        <x:v>census_acs5_finance|census_acs5_pums_housing_ca|census_tract_to_puma_2020|freddie_mac_pmms</x:v>
      </x:c>
    </x:row>
    <x:row r="170" ht="28" customHeight="1">
      <x:c r="A170" s="273" t="str">
        <x:v>acs_implied_owner_occupied_home_equity_mortgaged_pmms_20y_scenario</x:v>
      </x:c>
      <x:c r="B170" s="273" t="str">
        <x:v>Mortgaged-owner home equity PMMS 20-year scenario</x:v>
      </x:c>
      <x:c r="C170" s="273" t="str">
        <x:v>PMMS equity scenarios</x:v>
      </x:c>
      <x:c r="D170" s="277" t="str">
        <x:v>A</x:v>
      </x:c>
      <x:c r="E170" s="273" t="str">
        <x:v>acs_implied_owner_occupied_home_equity_mortgaged_pmms_20y_scenario_benchmark</x:v>
      </x:c>
      <x:c r="F170" s="273" t="str">
        <x:v>USD</x:v>
      </x:c>
      <x:c r="G170" s="273" t="str">
        <x:v>Fully populated</x:v>
      </x:c>
      <x:c r="H170" s="273" t="str">
        <x:v>Fully populated</x:v>
      </x:c>
      <x:c r="I170" s="274" t="n">
        <x:v>58</x:v>
      </x:c>
      <x:c r="J170" s="274" t="n">
        <x:v>58</x:v>
      </x:c>
      <x:c r="K170" s="274" t="n">
        <x:v>0</x:v>
      </x:c>
      <x:c r="L170" s="274" t="n">
        <x:v>58</x:v>
      </x:c>
      <x:c r="M170" s="275" t="n">
        <x:v>44743</x:v>
      </x:c>
      <x:c r="N170" s="275" t="n">
        <x:v>44743</x:v>
      </x:c>
      <x:c r="O170" s="274" t="n">
        <x:v>0</x:v>
      </x:c>
      <x:c r="P170" s="274" t="n">
        <x:v>0</x:v>
      </x:c>
      <x:c r="Q170" s="274" t="n">
        <x:v>0</x:v>
      </x:c>
      <x:c r="R170" s="274" t="n">
        <x:v>0</x:v>
      </x:c>
      <x:c r="S170" s="273" t="str">
        <x:v>census_acs5_finance|census_acs5_pums_housing_ca|census_tract_to_puma_2020|freddie_mac_pmms</x:v>
      </x:c>
    </x:row>
    <x:row r="171" ht="28" customHeight="1">
      <x:c r="A171" s="273" t="str">
        <x:v>acs_implied_owner_occupied_home_equity_mortgaged_pmms_20y_scenario</x:v>
      </x:c>
      <x:c r="B171" s="273" t="str">
        <x:v>Mortgaged-owner home equity PMMS 20-year scenario</x:v>
      </x:c>
      <x:c r="C171" s="273" t="str">
        <x:v>PMMS equity scenarios</x:v>
      </x:c>
      <x:c r="D171" s="279" t="str">
        <x:v>B</x:v>
      </x:c>
      <x:c r="E171" s="273" t="str">
        <x:v>acs_implied_owner_occupied_home_equity_mortgaged_pmms_20y_scenario_monthly_hist</x:v>
      </x:c>
      <x:c r="F171" s="273" t="str">
        <x:v>USD</x:v>
      </x:c>
      <x:c r="G171" s="273" t="str">
        <x:v>scenario</x:v>
      </x:c>
      <x:c r="H171" s="273" t="str">
        <x:v>Partially populated</x:v>
      </x:c>
      <x:c r="I171" s="274" t="n">
        <x:v>9106</x:v>
      </x:c>
      <x:c r="J171" s="274" t="n">
        <x:v>6521</x:v>
      </x:c>
      <x:c r="K171" s="274" t="n">
        <x:v>2585</x:v>
      </x:c>
      <x:c r="L171" s="274" t="n">
        <x:v>58</x:v>
      </x:c>
      <x:c r="M171" s="275" t="n">
        <x:v>41364</x:v>
      </x:c>
      <x:c r="N171" s="275" t="n">
        <x:v>46112</x:v>
      </x:c>
      <x:c r="O171" s="274" t="n">
        <x:v>0</x:v>
      </x:c>
      <x:c r="P171" s="274" t="n">
        <x:v>6032</x:v>
      </x:c>
      <x:c r="Q171" s="274" t="n">
        <x:v>0</x:v>
      </x:c>
      <x:c r="R171" s="274" t="n">
        <x:v>0</x:v>
      </x:c>
      <x:c r="S171" s="273" t="str">
        <x:v>census_acs5_finance|census_acs5_pums_housing_ca|census_tract_to_puma_2020|freddie_mac_pmms|fhfa_nmdb_ca_upb|redfin_county_monthly|zillow_county_zhvi | census_acs5_finance|census_acs5_pums_housing_ca|census_tract_to_puma_2020|freddie_mac_pmms|fhfa_nmdb_ca_upb|zillow_county_zhvi</x:v>
      </x:c>
    </x:row>
    <x:row r="172" ht="28" customHeight="1">
      <x:c r="A172" s="273" t="str">
        <x:v>acs_implied_owner_occupied_home_equity_mortgaged_pmms_20y_scenario</x:v>
      </x:c>
      <x:c r="B172" s="273" t="str">
        <x:v>Mortgaged-owner home equity PMMS 20-year scenario</x:v>
      </x:c>
      <x:c r="C172" s="273" t="str">
        <x:v>PMMS equity scenarios</x:v>
      </x:c>
      <x:c r="D172" s="281" t="str">
        <x:v>C</x:v>
      </x:c>
      <x:c r="E172" s="273" t="str">
        <x:v>acs_implied_owner_occupied_home_equity_mortgaged_pmms_20y_scenario_monthly_rt</x:v>
      </x:c>
      <x:c r="F172" s="273" t="str">
        <x:v>USD</x:v>
      </x:c>
      <x:c r="G172" s="273" t="str">
        <x:v>scenario</x:v>
      </x:c>
      <x:c r="H172" s="273" t="str">
        <x:v>Fully populated</x:v>
      </x:c>
      <x:c r="I172" s="274" t="n">
        <x:v>3248</x:v>
      </x:c>
      <x:c r="J172" s="274" t="n">
        <x:v>3248</x:v>
      </x:c>
      <x:c r="K172" s="274" t="n">
        <x:v>0</x:v>
      </x:c>
      <x:c r="L172" s="274" t="n">
        <x:v>58</x:v>
      </x:c>
      <x:c r="M172" s="275" t="n">
        <x:v>44592</x:v>
      </x:c>
      <x:c r="N172" s="275" t="n">
        <x:v>46265</x:v>
      </x:c>
      <x:c r="O172" s="274" t="n">
        <x:v>1160</x:v>
      </x:c>
      <x:c r="P172" s="274" t="n">
        <x:v>0</x:v>
      </x:c>
      <x:c r="Q172" s="274" t="n">
        <x:v>3190</x:v>
      </x:c>
      <x:c r="R172" s="274" t="n">
        <x:v>0</x:v>
      </x:c>
      <x:c r="S172" s="273" t="str">
        <x:v>census_acs5_finance|census_acs5_pums_housing_ca|census_tract_to_puma_2020|freddie_mac_pmms|census_acs5_finance|zillow_county_zhvi</x:v>
      </x:c>
    </x:row>
    <x:row r="173" ht="28" customHeight="1">
      <x:c r="A173" s="273" t="str">
        <x:v>acs_implied_owner_occupied_home_equity_all_pmms_20y_scenario</x:v>
      </x:c>
      <x:c r="B173" s="273" t="str">
        <x:v>All-owner home equity PMMS 20-year scenario</x:v>
      </x:c>
      <x:c r="C173" s="273" t="str">
        <x:v>PMMS equity scenarios</x:v>
      </x:c>
      <x:c r="D173" s="277" t="str">
        <x:v>A</x:v>
      </x:c>
      <x:c r="E173" s="273" t="str">
        <x:v>acs_implied_owner_occupied_home_equity_all_pmms_20y_scenario_benchmark</x:v>
      </x:c>
      <x:c r="F173" s="273" t="str">
        <x:v>USD</x:v>
      </x:c>
      <x:c r="G173" s="273" t="str">
        <x:v>Fully populated</x:v>
      </x:c>
      <x:c r="H173" s="273" t="str">
        <x:v>Fully populated</x:v>
      </x:c>
      <x:c r="I173" s="274" t="n">
        <x:v>58</x:v>
      </x:c>
      <x:c r="J173" s="274" t="n">
        <x:v>58</x:v>
      </x:c>
      <x:c r="K173" s="274" t="n">
        <x:v>0</x:v>
      </x:c>
      <x:c r="L173" s="274" t="n">
        <x:v>58</x:v>
      </x:c>
      <x:c r="M173" s="275" t="n">
        <x:v>44743</x:v>
      </x:c>
      <x:c r="N173" s="275" t="n">
        <x:v>44743</x:v>
      </x:c>
      <x:c r="O173" s="274" t="n">
        <x:v>0</x:v>
      </x:c>
      <x:c r="P173" s="274" t="n">
        <x:v>0</x:v>
      </x:c>
      <x:c r="Q173" s="274" t="n">
        <x:v>0</x:v>
      </x:c>
      <x:c r="R173" s="274" t="n">
        <x:v>0</x:v>
      </x:c>
      <x:c r="S173" s="273" t="str">
        <x:v>census_acs5_finance|census_acs5_pums_housing_ca|census_tract_to_puma_2020|freddie_mac_pmms</x:v>
      </x:c>
    </x:row>
    <x:row r="174" ht="28" customHeight="1">
      <x:c r="A174" s="273" t="str">
        <x:v>acs_implied_owner_occupied_home_equity_all_pmms_20y_scenario</x:v>
      </x:c>
      <x:c r="B174" s="273" t="str">
        <x:v>All-owner home equity PMMS 20-year scenario</x:v>
      </x:c>
      <x:c r="C174" s="273" t="str">
        <x:v>PMMS equity scenarios</x:v>
      </x:c>
      <x:c r="D174" s="279" t="str">
        <x:v>B</x:v>
      </x:c>
      <x:c r="E174" s="273" t="str">
        <x:v>acs_implied_owner_occupied_home_equity_all_pmms_20y_scenario_monthly_hist</x:v>
      </x:c>
      <x:c r="F174" s="273" t="str">
        <x:v>USD</x:v>
      </x:c>
      <x:c r="G174" s="273" t="str">
        <x:v>scenario</x:v>
      </x:c>
      <x:c r="H174" s="273" t="str">
        <x:v>Partially populated</x:v>
      </x:c>
      <x:c r="I174" s="274" t="n">
        <x:v>9106</x:v>
      </x:c>
      <x:c r="J174" s="274" t="n">
        <x:v>6521</x:v>
      </x:c>
      <x:c r="K174" s="274" t="n">
        <x:v>2585</x:v>
      </x:c>
      <x:c r="L174" s="274" t="n">
        <x:v>58</x:v>
      </x:c>
      <x:c r="M174" s="275" t="n">
        <x:v>41364</x:v>
      </x:c>
      <x:c r="N174" s="275" t="n">
        <x:v>46112</x:v>
      </x:c>
      <x:c r="O174" s="274" t="n">
        <x:v>0</x:v>
      </x:c>
      <x:c r="P174" s="274" t="n">
        <x:v>6032</x:v>
      </x:c>
      <x:c r="Q174" s="274" t="n">
        <x:v>0</x:v>
      </x:c>
      <x:c r="R174" s="274" t="n">
        <x:v>0</x:v>
      </x:c>
      <x:c r="S174" s="273" t="str">
        <x:v>census_acs5_finance|census_acs5_pums_housing_ca|census_tract_to_puma_2020|freddie_mac_pmms|fhfa_nmdb_ca_upb|redfin_county_monthly|zillow_county_zhvi | census_acs5_finance|census_acs5_pums_housing_ca|census_tract_to_puma_2020|freddie_mac_pmms|fhfa_nmdb_ca_upb|zillow_county_zhvi</x:v>
      </x:c>
    </x:row>
    <x:row r="175" ht="28" customHeight="1">
      <x:c r="A175" s="273" t="str">
        <x:v>acs_implied_owner_occupied_home_equity_all_pmms_20y_scenario</x:v>
      </x:c>
      <x:c r="B175" s="273" t="str">
        <x:v>All-owner home equity PMMS 20-year scenario</x:v>
      </x:c>
      <x:c r="C175" s="273" t="str">
        <x:v>PMMS equity scenarios</x:v>
      </x:c>
      <x:c r="D175" s="281" t="str">
        <x:v>C</x:v>
      </x:c>
      <x:c r="E175" s="273" t="str">
        <x:v>acs_implied_owner_occupied_home_equity_all_pmms_20y_scenario_monthly_rt</x:v>
      </x:c>
      <x:c r="F175" s="273" t="str">
        <x:v>USD</x:v>
      </x:c>
      <x:c r="G175" s="273" t="str">
        <x:v>scenario</x:v>
      </x:c>
      <x:c r="H175" s="273" t="str">
        <x:v>Fully populated</x:v>
      </x:c>
      <x:c r="I175" s="274" t="n">
        <x:v>3248</x:v>
      </x:c>
      <x:c r="J175" s="274" t="n">
        <x:v>3248</x:v>
      </x:c>
      <x:c r="K175" s="274" t="n">
        <x:v>0</x:v>
      </x:c>
      <x:c r="L175" s="274" t="n">
        <x:v>58</x:v>
      </x:c>
      <x:c r="M175" s="275" t="n">
        <x:v>44592</x:v>
      </x:c>
      <x:c r="N175" s="275" t="n">
        <x:v>46265</x:v>
      </x:c>
      <x:c r="O175" s="274" t="n">
        <x:v>1160</x:v>
      </x:c>
      <x:c r="P175" s="274" t="n">
        <x:v>0</x:v>
      </x:c>
      <x:c r="Q175" s="274" t="n">
        <x:v>3190</x:v>
      </x:c>
      <x:c r="R175" s="274" t="n">
        <x:v>0</x:v>
      </x:c>
      <x:c r="S175" s="273" t="str">
        <x:v>census_acs5_finance|census_acs5_pums_housing_ca|census_tract_to_puma_2020|freddie_mac_pmms|census_acs5_finance|zillow_county_zhvi</x:v>
      </x:c>
    </x:row>
    <x:row r="176" ht="28" customHeight="1">
      <x:c r="A176" s="273" t="str">
        <x:v>acs_implied_owner_occupied_home_equity_mortgaged_pmms_25y_scenario</x:v>
      </x:c>
      <x:c r="B176" s="273" t="str">
        <x:v>Mortgaged-owner home equity PMMS 25-year scenario</x:v>
      </x:c>
      <x:c r="C176" s="273" t="str">
        <x:v>PMMS equity scenarios</x:v>
      </x:c>
      <x:c r="D176" s="277" t="str">
        <x:v>A</x:v>
      </x:c>
      <x:c r="E176" s="273" t="str">
        <x:v>acs_implied_owner_occupied_home_equity_mortgaged_pmms_25y_scenario_benchmark</x:v>
      </x:c>
      <x:c r="F176" s="273" t="str">
        <x:v>USD</x:v>
      </x:c>
      <x:c r="G176" s="273" t="str">
        <x:v>Fully populated</x:v>
      </x:c>
      <x:c r="H176" s="273" t="str">
        <x:v>Fully populated</x:v>
      </x:c>
      <x:c r="I176" s="274" t="n">
        <x:v>58</x:v>
      </x:c>
      <x:c r="J176" s="274" t="n">
        <x:v>58</x:v>
      </x:c>
      <x:c r="K176" s="274" t="n">
        <x:v>0</x:v>
      </x:c>
      <x:c r="L176" s="274" t="n">
        <x:v>58</x:v>
      </x:c>
      <x:c r="M176" s="275" t="n">
        <x:v>44743</x:v>
      </x:c>
      <x:c r="N176" s="275" t="n">
        <x:v>44743</x:v>
      </x:c>
      <x:c r="O176" s="274" t="n">
        <x:v>0</x:v>
      </x:c>
      <x:c r="P176" s="274" t="n">
        <x:v>0</x:v>
      </x:c>
      <x:c r="Q176" s="274" t="n">
        <x:v>0</x:v>
      </x:c>
      <x:c r="R176" s="274" t="n">
        <x:v>0</x:v>
      </x:c>
      <x:c r="S176" s="273" t="str">
        <x:v>census_acs5_finance|census_acs5_pums_housing_ca|census_tract_to_puma_2020|freddie_mac_pmms</x:v>
      </x:c>
    </x:row>
    <x:row r="177" ht="28" customHeight="1">
      <x:c r="A177" s="273" t="str">
        <x:v>acs_implied_owner_occupied_home_equity_mortgaged_pmms_25y_scenario</x:v>
      </x:c>
      <x:c r="B177" s="273" t="str">
        <x:v>Mortgaged-owner home equity PMMS 25-year scenario</x:v>
      </x:c>
      <x:c r="C177" s="273" t="str">
        <x:v>PMMS equity scenarios</x:v>
      </x:c>
      <x:c r="D177" s="279" t="str">
        <x:v>B</x:v>
      </x:c>
      <x:c r="E177" s="273" t="str">
        <x:v>acs_implied_owner_occupied_home_equity_mortgaged_pmms_25y_scenario_monthly_hist</x:v>
      </x:c>
      <x:c r="F177" s="273" t="str">
        <x:v>USD</x:v>
      </x:c>
      <x:c r="G177" s="273" t="str">
        <x:v>scenario</x:v>
      </x:c>
      <x:c r="H177" s="273" t="str">
        <x:v>Partially populated</x:v>
      </x:c>
      <x:c r="I177" s="274" t="n">
        <x:v>9106</x:v>
      </x:c>
      <x:c r="J177" s="274" t="n">
        <x:v>6521</x:v>
      </x:c>
      <x:c r="K177" s="274" t="n">
        <x:v>2585</x:v>
      </x:c>
      <x:c r="L177" s="274" t="n">
        <x:v>58</x:v>
      </x:c>
      <x:c r="M177" s="275" t="n">
        <x:v>41364</x:v>
      </x:c>
      <x:c r="N177" s="275" t="n">
        <x:v>46112</x:v>
      </x:c>
      <x:c r="O177" s="274" t="n">
        <x:v>0</x:v>
      </x:c>
      <x:c r="P177" s="274" t="n">
        <x:v>6032</x:v>
      </x:c>
      <x:c r="Q177" s="274" t="n">
        <x:v>0</x:v>
      </x:c>
      <x:c r="R177" s="274" t="n">
        <x:v>0</x:v>
      </x:c>
      <x:c r="S177" s="273" t="str">
        <x:v>census_acs5_finance|census_acs5_pums_housing_ca|census_tract_to_puma_2020|freddie_mac_pmms|fhfa_nmdb_ca_upb|redfin_county_monthly|zillow_county_zhvi | census_acs5_finance|census_acs5_pums_housing_ca|census_tract_to_puma_2020|freddie_mac_pmms|fhfa_nmdb_ca_upb|zillow_county_zhvi</x:v>
      </x:c>
    </x:row>
    <x:row r="178" ht="28" customHeight="1">
      <x:c r="A178" s="273" t="str">
        <x:v>acs_implied_owner_occupied_home_equity_mortgaged_pmms_25y_scenario</x:v>
      </x:c>
      <x:c r="B178" s="273" t="str">
        <x:v>Mortgaged-owner home equity PMMS 25-year scenario</x:v>
      </x:c>
      <x:c r="C178" s="273" t="str">
        <x:v>PMMS equity scenarios</x:v>
      </x:c>
      <x:c r="D178" s="281" t="str">
        <x:v>C</x:v>
      </x:c>
      <x:c r="E178" s="273" t="str">
        <x:v>acs_implied_owner_occupied_home_equity_mortgaged_pmms_25y_scenario_monthly_rt</x:v>
      </x:c>
      <x:c r="F178" s="273" t="str">
        <x:v>USD</x:v>
      </x:c>
      <x:c r="G178" s="273" t="str">
        <x:v>scenario</x:v>
      </x:c>
      <x:c r="H178" s="273" t="str">
        <x:v>Fully populated</x:v>
      </x:c>
      <x:c r="I178" s="274" t="n">
        <x:v>3248</x:v>
      </x:c>
      <x:c r="J178" s="274" t="n">
        <x:v>3248</x:v>
      </x:c>
      <x:c r="K178" s="274" t="n">
        <x:v>0</x:v>
      </x:c>
      <x:c r="L178" s="274" t="n">
        <x:v>58</x:v>
      </x:c>
      <x:c r="M178" s="275" t="n">
        <x:v>44592</x:v>
      </x:c>
      <x:c r="N178" s="275" t="n">
        <x:v>46265</x:v>
      </x:c>
      <x:c r="O178" s="274" t="n">
        <x:v>1160</x:v>
      </x:c>
      <x:c r="P178" s="274" t="n">
        <x:v>0</x:v>
      </x:c>
      <x:c r="Q178" s="274" t="n">
        <x:v>3190</x:v>
      </x:c>
      <x:c r="R178" s="274" t="n">
        <x:v>0</x:v>
      </x:c>
      <x:c r="S178" s="273" t="str">
        <x:v>census_acs5_finance|census_acs5_pums_housing_ca|census_tract_to_puma_2020|freddie_mac_pmms|census_acs5_finance|zillow_county_zhvi</x:v>
      </x:c>
    </x:row>
    <x:row r="179" ht="28" customHeight="1">
      <x:c r="A179" s="273" t="str">
        <x:v>acs_implied_owner_occupied_home_equity_all_pmms_25y_scenario</x:v>
      </x:c>
      <x:c r="B179" s="273" t="str">
        <x:v>All-owner home equity PMMS 25-year scenario</x:v>
      </x:c>
      <x:c r="C179" s="273" t="str">
        <x:v>PMMS equity scenarios</x:v>
      </x:c>
      <x:c r="D179" s="277" t="str">
        <x:v>A</x:v>
      </x:c>
      <x:c r="E179" s="273" t="str">
        <x:v>acs_implied_owner_occupied_home_equity_all_pmms_25y_scenario_benchmark</x:v>
      </x:c>
      <x:c r="F179" s="273" t="str">
        <x:v>USD</x:v>
      </x:c>
      <x:c r="G179" s="273" t="str">
        <x:v>Fully populated</x:v>
      </x:c>
      <x:c r="H179" s="273" t="str">
        <x:v>Fully populated</x:v>
      </x:c>
      <x:c r="I179" s="274" t="n">
        <x:v>58</x:v>
      </x:c>
      <x:c r="J179" s="274" t="n">
        <x:v>58</x:v>
      </x:c>
      <x:c r="K179" s="274" t="n">
        <x:v>0</x:v>
      </x:c>
      <x:c r="L179" s="274" t="n">
        <x:v>58</x:v>
      </x:c>
      <x:c r="M179" s="275" t="n">
        <x:v>44743</x:v>
      </x:c>
      <x:c r="N179" s="275" t="n">
        <x:v>44743</x:v>
      </x:c>
      <x:c r="O179" s="274" t="n">
        <x:v>0</x:v>
      </x:c>
      <x:c r="P179" s="274" t="n">
        <x:v>0</x:v>
      </x:c>
      <x:c r="Q179" s="274" t="n">
        <x:v>0</x:v>
      </x:c>
      <x:c r="R179" s="274" t="n">
        <x:v>0</x:v>
      </x:c>
      <x:c r="S179" s="273" t="str">
        <x:v>census_acs5_finance|census_acs5_pums_housing_ca|census_tract_to_puma_2020|freddie_mac_pmms</x:v>
      </x:c>
    </x:row>
    <x:row r="180" ht="28" customHeight="1">
      <x:c r="A180" s="273" t="str">
        <x:v>acs_implied_owner_occupied_home_equity_all_pmms_25y_scenario</x:v>
      </x:c>
      <x:c r="B180" s="273" t="str">
        <x:v>All-owner home equity PMMS 25-year scenario</x:v>
      </x:c>
      <x:c r="C180" s="273" t="str">
        <x:v>PMMS equity scenarios</x:v>
      </x:c>
      <x:c r="D180" s="279" t="str">
        <x:v>B</x:v>
      </x:c>
      <x:c r="E180" s="273" t="str">
        <x:v>acs_implied_owner_occupied_home_equity_all_pmms_25y_scenario_monthly_hist</x:v>
      </x:c>
      <x:c r="F180" s="273" t="str">
        <x:v>USD</x:v>
      </x:c>
      <x:c r="G180" s="273" t="str">
        <x:v>scenario</x:v>
      </x:c>
      <x:c r="H180" s="273" t="str">
        <x:v>Partially populated</x:v>
      </x:c>
      <x:c r="I180" s="274" t="n">
        <x:v>9106</x:v>
      </x:c>
      <x:c r="J180" s="274" t="n">
        <x:v>6521</x:v>
      </x:c>
      <x:c r="K180" s="274" t="n">
        <x:v>2585</x:v>
      </x:c>
      <x:c r="L180" s="274" t="n">
        <x:v>58</x:v>
      </x:c>
      <x:c r="M180" s="275" t="n">
        <x:v>41364</x:v>
      </x:c>
      <x:c r="N180" s="275" t="n">
        <x:v>46112</x:v>
      </x:c>
      <x:c r="O180" s="274" t="n">
        <x:v>0</x:v>
      </x:c>
      <x:c r="P180" s="274" t="n">
        <x:v>6032</x:v>
      </x:c>
      <x:c r="Q180" s="274" t="n">
        <x:v>0</x:v>
      </x:c>
      <x:c r="R180" s="274" t="n">
        <x:v>0</x:v>
      </x:c>
      <x:c r="S180" s="273" t="str">
        <x:v>census_acs5_finance|census_acs5_pums_housing_ca|census_tract_to_puma_2020|freddie_mac_pmms|fhfa_nmdb_ca_upb|redfin_county_monthly|zillow_county_zhvi | census_acs5_finance|census_acs5_pums_housing_ca|census_tract_to_puma_2020|freddie_mac_pmms|fhfa_nmdb_ca_upb|zillow_county_zhvi</x:v>
      </x:c>
    </x:row>
    <x:row r="181" ht="28" customHeight="1">
      <x:c r="A181" s="273" t="str">
        <x:v>acs_implied_owner_occupied_home_equity_all_pmms_25y_scenario</x:v>
      </x:c>
      <x:c r="B181" s="273" t="str">
        <x:v>All-owner home equity PMMS 25-year scenario</x:v>
      </x:c>
      <x:c r="C181" s="273" t="str">
        <x:v>PMMS equity scenarios</x:v>
      </x:c>
      <x:c r="D181" s="281" t="str">
        <x:v>C</x:v>
      </x:c>
      <x:c r="E181" s="273" t="str">
        <x:v>acs_implied_owner_occupied_home_equity_all_pmms_25y_scenario_monthly_rt</x:v>
      </x:c>
      <x:c r="F181" s="273" t="str">
        <x:v>USD</x:v>
      </x:c>
      <x:c r="G181" s="273" t="str">
        <x:v>scenario</x:v>
      </x:c>
      <x:c r="H181" s="273" t="str">
        <x:v>Fully populated</x:v>
      </x:c>
      <x:c r="I181" s="274" t="n">
        <x:v>3248</x:v>
      </x:c>
      <x:c r="J181" s="274" t="n">
        <x:v>3248</x:v>
      </x:c>
      <x:c r="K181" s="274" t="n">
        <x:v>0</x:v>
      </x:c>
      <x:c r="L181" s="274" t="n">
        <x:v>58</x:v>
      </x:c>
      <x:c r="M181" s="275" t="n">
        <x:v>44592</x:v>
      </x:c>
      <x:c r="N181" s="275" t="n">
        <x:v>46265</x:v>
      </x:c>
      <x:c r="O181" s="274" t="n">
        <x:v>1160</x:v>
      </x:c>
      <x:c r="P181" s="274" t="n">
        <x:v>0</x:v>
      </x:c>
      <x:c r="Q181" s="274" t="n">
        <x:v>3190</x:v>
      </x:c>
      <x:c r="R181" s="274" t="n">
        <x:v>0</x:v>
      </x:c>
      <x:c r="S181" s="273" t="str">
        <x:v>census_acs5_finance|census_acs5_pums_housing_ca|census_tract_to_puma_2020|freddie_mac_pmms|census_acs5_finance|zillow_county_zhvi</x:v>
      </x:c>
    </x:row>
    <x:row r="182" ht="28" customHeight="1">
      <x:c r="A182" s="273" t="str">
        <x:v>acs_implied_owner_occupied_home_equity_mortgaged_pmms_30y_scenario</x:v>
      </x:c>
      <x:c r="B182" s="273" t="str">
        <x:v>Mortgaged-owner home equity PMMS 30-year scenario</x:v>
      </x:c>
      <x:c r="C182" s="273" t="str">
        <x:v>PMMS equity scenarios</x:v>
      </x:c>
      <x:c r="D182" s="277" t="str">
        <x:v>A</x:v>
      </x:c>
      <x:c r="E182" s="273" t="str">
        <x:v>acs_implied_owner_occupied_home_equity_mortgaged_pmms_30y_scenario_benchmark</x:v>
      </x:c>
      <x:c r="F182" s="273" t="str">
        <x:v>USD</x:v>
      </x:c>
      <x:c r="G182" s="273" t="str">
        <x:v>Fully populated</x:v>
      </x:c>
      <x:c r="H182" s="273" t="str">
        <x:v>Fully populated</x:v>
      </x:c>
      <x:c r="I182" s="274" t="n">
        <x:v>58</x:v>
      </x:c>
      <x:c r="J182" s="274" t="n">
        <x:v>58</x:v>
      </x:c>
      <x:c r="K182" s="274" t="n">
        <x:v>0</x:v>
      </x:c>
      <x:c r="L182" s="274" t="n">
        <x:v>58</x:v>
      </x:c>
      <x:c r="M182" s="275" t="n">
        <x:v>44743</x:v>
      </x:c>
      <x:c r="N182" s="275" t="n">
        <x:v>44743</x:v>
      </x:c>
      <x:c r="O182" s="274" t="n">
        <x:v>0</x:v>
      </x:c>
      <x:c r="P182" s="274" t="n">
        <x:v>0</x:v>
      </x:c>
      <x:c r="Q182" s="274" t="n">
        <x:v>0</x:v>
      </x:c>
      <x:c r="R182" s="274" t="n">
        <x:v>0</x:v>
      </x:c>
      <x:c r="S182" s="273" t="str">
        <x:v>census_acs5_finance|census_acs5_pums_housing_ca|census_tract_to_puma_2020|freddie_mac_pmms</x:v>
      </x:c>
    </x:row>
    <x:row r="183" ht="28" customHeight="1">
      <x:c r="A183" s="273" t="str">
        <x:v>acs_implied_owner_occupied_home_equity_mortgaged_pmms_30y_scenario</x:v>
      </x:c>
      <x:c r="B183" s="273" t="str">
        <x:v>Mortgaged-owner home equity PMMS 30-year scenario</x:v>
      </x:c>
      <x:c r="C183" s="273" t="str">
        <x:v>PMMS equity scenarios</x:v>
      </x:c>
      <x:c r="D183" s="279" t="str">
        <x:v>B</x:v>
      </x:c>
      <x:c r="E183" s="273" t="str">
        <x:v>acs_implied_owner_occupied_home_equity_mortgaged_pmms_30y_scenario_monthly_hist</x:v>
      </x:c>
      <x:c r="F183" s="273" t="str">
        <x:v>USD</x:v>
      </x:c>
      <x:c r="G183" s="273" t="str">
        <x:v>scenario</x:v>
      </x:c>
      <x:c r="H183" s="273" t="str">
        <x:v>Partially populated</x:v>
      </x:c>
      <x:c r="I183" s="274" t="n">
        <x:v>9106</x:v>
      </x:c>
      <x:c r="J183" s="274" t="n">
        <x:v>6521</x:v>
      </x:c>
      <x:c r="K183" s="274" t="n">
        <x:v>2585</x:v>
      </x:c>
      <x:c r="L183" s="274" t="n">
        <x:v>58</x:v>
      </x:c>
      <x:c r="M183" s="275" t="n">
        <x:v>41364</x:v>
      </x:c>
      <x:c r="N183" s="275" t="n">
        <x:v>46112</x:v>
      </x:c>
      <x:c r="O183" s="274" t="n">
        <x:v>0</x:v>
      </x:c>
      <x:c r="P183" s="274" t="n">
        <x:v>6032</x:v>
      </x:c>
      <x:c r="Q183" s="274" t="n">
        <x:v>0</x:v>
      </x:c>
      <x:c r="R183" s="274" t="n">
        <x:v>0</x:v>
      </x:c>
      <x:c r="S183" s="273" t="str">
        <x:v>census_acs5_finance|census_acs5_pums_housing_ca|census_tract_to_puma_2020|freddie_mac_pmms|fhfa_nmdb_ca_upb|redfin_county_monthly|zillow_county_zhvi | census_acs5_finance|census_acs5_pums_housing_ca|census_tract_to_puma_2020|freddie_mac_pmms|fhfa_nmdb_ca_upb|zillow_county_zhvi</x:v>
      </x:c>
    </x:row>
    <x:row r="184" ht="28" customHeight="1">
      <x:c r="A184" s="273" t="str">
        <x:v>acs_implied_owner_occupied_home_equity_mortgaged_pmms_30y_scenario</x:v>
      </x:c>
      <x:c r="B184" s="273" t="str">
        <x:v>Mortgaged-owner home equity PMMS 30-year scenario</x:v>
      </x:c>
      <x:c r="C184" s="273" t="str">
        <x:v>PMMS equity scenarios</x:v>
      </x:c>
      <x:c r="D184" s="281" t="str">
        <x:v>C</x:v>
      </x:c>
      <x:c r="E184" s="273" t="str">
        <x:v>acs_implied_owner_occupied_home_equity_mortgaged_pmms_30y_scenario_monthly_rt</x:v>
      </x:c>
      <x:c r="F184" s="273" t="str">
        <x:v>USD</x:v>
      </x:c>
      <x:c r="G184" s="273" t="str">
        <x:v>scenario</x:v>
      </x:c>
      <x:c r="H184" s="273" t="str">
        <x:v>Fully populated</x:v>
      </x:c>
      <x:c r="I184" s="274" t="n">
        <x:v>3248</x:v>
      </x:c>
      <x:c r="J184" s="274" t="n">
        <x:v>3248</x:v>
      </x:c>
      <x:c r="K184" s="274" t="n">
        <x:v>0</x:v>
      </x:c>
      <x:c r="L184" s="274" t="n">
        <x:v>58</x:v>
      </x:c>
      <x:c r="M184" s="275" t="n">
        <x:v>44592</x:v>
      </x:c>
      <x:c r="N184" s="275" t="n">
        <x:v>46265</x:v>
      </x:c>
      <x:c r="O184" s="274" t="n">
        <x:v>1160</x:v>
      </x:c>
      <x:c r="P184" s="274" t="n">
        <x:v>0</x:v>
      </x:c>
      <x:c r="Q184" s="274" t="n">
        <x:v>3190</x:v>
      </x:c>
      <x:c r="R184" s="274" t="n">
        <x:v>0</x:v>
      </x:c>
      <x:c r="S184" s="273" t="str">
        <x:v>census_acs5_finance|census_acs5_pums_housing_ca|census_tract_to_puma_2020|freddie_mac_pmms|census_acs5_finance|zillow_county_zhvi</x:v>
      </x:c>
    </x:row>
    <x:row r="185" ht="28" customHeight="1">
      <x:c r="A185" s="273" t="str">
        <x:v>acs_implied_owner_occupied_home_equity_all_pmms_30y_scenario</x:v>
      </x:c>
      <x:c r="B185" s="273" t="str">
        <x:v>All-owner home equity PMMS 30-year scenario</x:v>
      </x:c>
      <x:c r="C185" s="273" t="str">
        <x:v>PMMS equity scenarios</x:v>
      </x:c>
      <x:c r="D185" s="277" t="str">
        <x:v>A</x:v>
      </x:c>
      <x:c r="E185" s="273" t="str">
        <x:v>acs_implied_owner_occupied_home_equity_all_pmms_30y_scenario_benchmark</x:v>
      </x:c>
      <x:c r="F185" s="273" t="str">
        <x:v>USD</x:v>
      </x:c>
      <x:c r="G185" s="273" t="str">
        <x:v>Fully populated</x:v>
      </x:c>
      <x:c r="H185" s="273" t="str">
        <x:v>Fully populated</x:v>
      </x:c>
      <x:c r="I185" s="274" t="n">
        <x:v>58</x:v>
      </x:c>
      <x:c r="J185" s="274" t="n">
        <x:v>58</x:v>
      </x:c>
      <x:c r="K185" s="274" t="n">
        <x:v>0</x:v>
      </x:c>
      <x:c r="L185" s="274" t="n">
        <x:v>58</x:v>
      </x:c>
      <x:c r="M185" s="275" t="n">
        <x:v>44743</x:v>
      </x:c>
      <x:c r="N185" s="275" t="n">
        <x:v>44743</x:v>
      </x:c>
      <x:c r="O185" s="274" t="n">
        <x:v>0</x:v>
      </x:c>
      <x:c r="P185" s="274" t="n">
        <x:v>0</x:v>
      </x:c>
      <x:c r="Q185" s="274" t="n">
        <x:v>0</x:v>
      </x:c>
      <x:c r="R185" s="274" t="n">
        <x:v>0</x:v>
      </x:c>
      <x:c r="S185" s="273" t="str">
        <x:v>census_acs5_finance|census_acs5_pums_housing_ca|census_tract_to_puma_2020|freddie_mac_pmms</x:v>
      </x:c>
    </x:row>
    <x:row r="186" ht="28" customHeight="1">
      <x:c r="A186" s="273" t="str">
        <x:v>acs_implied_owner_occupied_home_equity_all_pmms_30y_scenario</x:v>
      </x:c>
      <x:c r="B186" s="273" t="str">
        <x:v>All-owner home equity PMMS 30-year scenario</x:v>
      </x:c>
      <x:c r="C186" s="273" t="str">
        <x:v>PMMS equity scenarios</x:v>
      </x:c>
      <x:c r="D186" s="279" t="str">
        <x:v>B</x:v>
      </x:c>
      <x:c r="E186" s="273" t="str">
        <x:v>acs_implied_owner_occupied_home_equity_all_pmms_30y_scenario_monthly_hist</x:v>
      </x:c>
      <x:c r="F186" s="273" t="str">
        <x:v>USD</x:v>
      </x:c>
      <x:c r="G186" s="273" t="str">
        <x:v>scenario</x:v>
      </x:c>
      <x:c r="H186" s="273" t="str">
        <x:v>Partially populated</x:v>
      </x:c>
      <x:c r="I186" s="274" t="n">
        <x:v>9106</x:v>
      </x:c>
      <x:c r="J186" s="274" t="n">
        <x:v>6521</x:v>
      </x:c>
      <x:c r="K186" s="274" t="n">
        <x:v>2585</x:v>
      </x:c>
      <x:c r="L186" s="274" t="n">
        <x:v>58</x:v>
      </x:c>
      <x:c r="M186" s="275" t="n">
        <x:v>41364</x:v>
      </x:c>
      <x:c r="N186" s="275" t="n">
        <x:v>46112</x:v>
      </x:c>
      <x:c r="O186" s="274" t="n">
        <x:v>0</x:v>
      </x:c>
      <x:c r="P186" s="274" t="n">
        <x:v>6032</x:v>
      </x:c>
      <x:c r="Q186" s="274" t="n">
        <x:v>0</x:v>
      </x:c>
      <x:c r="R186" s="274" t="n">
        <x:v>0</x:v>
      </x:c>
      <x:c r="S186" s="273" t="str">
        <x:v>census_acs5_finance|census_acs5_pums_housing_ca|census_tract_to_puma_2020|freddie_mac_pmms|fhfa_nmdb_ca_upb|redfin_county_monthly|zillow_county_zhvi | census_acs5_finance|census_acs5_pums_housing_ca|census_tract_to_puma_2020|freddie_mac_pmms|fhfa_nmdb_ca_upb|zillow_county_zhvi</x:v>
      </x:c>
    </x:row>
    <x:row r="187" ht="28" customHeight="1">
      <x:c r="A187" s="273" t="str">
        <x:v>acs_implied_owner_occupied_home_equity_all_pmms_30y_scenario</x:v>
      </x:c>
      <x:c r="B187" s="273" t="str">
        <x:v>All-owner home equity PMMS 30-year scenario</x:v>
      </x:c>
      <x:c r="C187" s="273" t="str">
        <x:v>PMMS equity scenarios</x:v>
      </x:c>
      <x:c r="D187" s="281" t="str">
        <x:v>C</x:v>
      </x:c>
      <x:c r="E187" s="273" t="str">
        <x:v>acs_implied_owner_occupied_home_equity_all_pmms_30y_scenario_monthly_rt</x:v>
      </x:c>
      <x:c r="F187" s="273" t="str">
        <x:v>USD</x:v>
      </x:c>
      <x:c r="G187" s="273" t="str">
        <x:v>scenario</x:v>
      </x:c>
      <x:c r="H187" s="273" t="str">
        <x:v>Fully populated</x:v>
      </x:c>
      <x:c r="I187" s="274" t="n">
        <x:v>3248</x:v>
      </x:c>
      <x:c r="J187" s="274" t="n">
        <x:v>3248</x:v>
      </x:c>
      <x:c r="K187" s="274" t="n">
        <x:v>0</x:v>
      </x:c>
      <x:c r="L187" s="274" t="n">
        <x:v>58</x:v>
      </x:c>
      <x:c r="M187" s="275" t="n">
        <x:v>44592</x:v>
      </x:c>
      <x:c r="N187" s="275" t="n">
        <x:v>46265</x:v>
      </x:c>
      <x:c r="O187" s="274" t="n">
        <x:v>1160</x:v>
      </x:c>
      <x:c r="P187" s="274" t="n">
        <x:v>0</x:v>
      </x:c>
      <x:c r="Q187" s="274" t="n">
        <x:v>3190</x:v>
      </x:c>
      <x:c r="R187" s="274" t="n">
        <x:v>0</x:v>
      </x:c>
      <x:c r="S187" s="273" t="str">
        <x:v>census_acs5_finance|census_acs5_pums_housing_ca|census_tract_to_puma_2020|freddie_mac_pmms|census_acs5_finance|zillow_county_zhvi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ac3172a99c4f4f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4" hidden="0" customWidth="1"/>
    <x:col min="3" max="3" width="15" hidden="0" customWidth="1"/>
    <x:col min="4" max="4" width="31" hidden="0" customWidth="1"/>
    <x:col min="5" max="5" width="52" hidden="0" customWidth="1"/>
    <x:col min="6" max="6" width="60" hidden="0" customWidth="1"/>
    <x:col min="7" max="7" width="52" hidden="0" customWidth="1"/>
    <x:col min="8" max="8" width="48" hidden="0" customWidth="1"/>
    <x:col min="9" max="9" width="12" hidden="0" customWidth="1"/>
  </x:cols>
  <x:sheetData>
    <x:row r="1" ht="34" customHeight="1">
      <x:c r="A1" s="4" t="str">
        <x:v>Version B and C Transformation Methods</x:v>
      </x:c>
      <x:c r="B1" s="4" t="str">
        <x:v>Version B and C Transformation Methods</x:v>
      </x:c>
      <x:c r="C1" s="4" t="str">
        <x:v>Version B and C Transformation Methods</x:v>
      </x:c>
      <x:c r="D1" s="4" t="str">
        <x:v>Version B and C Transformation Methods</x:v>
      </x:c>
      <x:c r="E1" s="4" t="str">
        <x:v>Version B and C Transformation Methods</x:v>
      </x:c>
      <x:c r="F1" s="4" t="str">
        <x:v>Version B and C Transformation Methods</x:v>
      </x:c>
      <x:c r="G1" s="4" t="str">
        <x:v>Version B and C Transformation Methods</x:v>
      </x:c>
      <x:c r="H1" s="4" t="str">
        <x:v>Version B and C Transformation Methods</x:v>
      </x:c>
      <x:c r="I1" s="4" t="str">
        <x:v>Version B and C Transformation Methods</x:v>
      </x:c>
    </x:row>
    <x:row r="2" ht="34" customHeight="1">
      <x:c r="A2" s="8" t="str">
        <x:v>One row per active transformation. Variable counts reconcile to 58 in each version.</x:v>
      </x:c>
      <x:c r="B2" s="8" t="str">
        <x:v>One row per active transformation. Variable counts reconcile to 58 in each version.</x:v>
      </x:c>
      <x:c r="C2" s="8" t="str">
        <x:v>One row per active transformation. Variable counts reconcile to 58 in each version.</x:v>
      </x:c>
      <x:c r="D2" s="8" t="str">
        <x:v>One row per active transformation. Variable counts reconcile to 58 in each version.</x:v>
      </x:c>
      <x:c r="E2" s="8" t="str">
        <x:v>One row per active transformation. Variable counts reconcile to 58 in each version.</x:v>
      </x:c>
      <x:c r="F2" s="8" t="str">
        <x:v>One row per active transformation. Variable counts reconcile to 58 in each version.</x:v>
      </x:c>
      <x:c r="G2" s="8" t="str">
        <x:v>One row per active transformation. Variable counts reconcile to 58 in each version.</x:v>
      </x:c>
      <x:c r="H2" s="8" t="str">
        <x:v>One row per active transformation. Variable counts reconcile to 58 in each version.</x:v>
      </x:c>
      <x:c r="I2" s="8" t="str">
        <x:v>One row per active transformation. Variable counts reconcile to 58 in each version.</x:v>
      </x:c>
    </x:row>
    <x:row r="4">
      <x:c r="A4" s="121" t="str">
        <x:v>Version</x:v>
      </x:c>
      <x:c r="B4" s="121" t="str">
        <x:v>Transformation ID</x:v>
      </x:c>
      <x:c r="C4" s="121" t="str">
        <x:v>Variable count</x:v>
      </x:c>
      <x:c r="D4" s="121" t="str">
        <x:v>Concept</x:v>
      </x:c>
      <x:c r="E4" s="121" t="str">
        <x:v>Input roles</x:v>
      </x:c>
      <x:c r="F4" s="121" t="str">
        <x:v>Formula</x:v>
      </x:c>
      <x:c r="G4" s="121" t="str">
        <x:v>Benchmark / identity rule</x:v>
      </x:c>
      <x:c r="H4" s="121" t="str">
        <x:v>Missing-value policy</x:v>
      </x:c>
      <x:c r="I4" s="121" t="str">
        <x:v>Status</x:v>
      </x:c>
    </x:row>
    <x:row r="5" ht="74" customHeight="1">
      <x:c r="A5" s="282" t="str">
        <x:v>B</x:v>
      </x:c>
      <x:c r="B5" s="254" t="str">
        <x:v>version_b_reference_year_payment_repeat_v1</x:v>
      </x:c>
      <x:c r="C5" s="255" t="n">
        <x:v>4</x:v>
      </x:c>
      <x:c r="D5" s="254" t="str">
        <x:v>mortgage payment and debt-service metrics</x:v>
      </x:c>
      <x:c r="E5" s="254" t="str">
        <x:v>Version A ACS/PUMS payment and debt-service benchmarks</x:v>
      </x:c>
      <x:c r="F5" s="254" t="str">
        <x:v>Repeat each benchmark level in every month of its reference calendar year</x:v>
      </x:c>
      <x:c r="G5" s="254" t="str">
        <x:v>Each populated monthly value and its 12-month arithmetic mean equal the matching Version A benchmark exactly</x:v>
      </x:c>
      <x:c r="H5" s="254" t="str">
        <x:v>Preserve a benchmark null in all 12 months</x:v>
      </x:c>
      <x:c r="I5" s="254" t="str">
        <x:v>active</x:v>
      </x:c>
    </x:row>
    <x:row r="6" ht="74" customHeight="1">
      <x:c r="A6" s="282" t="str">
        <x:v>B</x:v>
      </x:c>
      <x:c r="B6" s="254" t="str">
        <x:v>version_b_hmda_annual_rate_repeat_v1</x:v>
      </x:c>
      <x:c r="C6" s="255" t="n">
        <x:v>24</x:v>
      </x:c>
      <x:c r="D6" s="254" t="str">
        <x:v>down-payment rates and threshold shares</x:v>
      </x:c>
      <x:c r="E6" s="254" t="str">
        <x:v>Version A annual HMDA rate or share</x:v>
      </x:c>
      <x:c r="F6" s="254" t="str">
        <x:v>Repeat the annual county rate or share in each activity-year month without division</x:v>
      </x:c>
      <x:c r="G6" s="254" t="str">
        <x:v>Every populated monthly rate or share equals its Version A annual value</x:v>
      </x:c>
      <x:c r="H6" s="254" t="str">
        <x:v>Preserve suppressed or low-sample annual nulls in all 12 months</x:v>
      </x:c>
      <x:c r="I6" s="254" t="str">
        <x:v>active</x:v>
      </x:c>
    </x:row>
    <x:row r="7" ht="74" customHeight="1">
      <x:c r="A7" s="282" t="str">
        <x:v>B</x:v>
      </x:c>
      <x:c r="B7" s="254" t="str">
        <x:v>version_b_hmda_flow_unavailable_v1</x:v>
      </x:c>
      <x:c r="C7" s="255" t="n">
        <x:v>4</x:v>
      </x:c>
      <x:c r="D7" s="254" t="str">
        <x:v>canonical down-payment flow</x:v>
      </x:c>
      <x:c r="E7" s="254" t="str">
        <x:v>Version A annual HMDA flow plus unavailable financed purchase-dollar volume</x:v>
      </x:c>
      <x:c r="F7" s="254" t="str">
        <x:v>Emit explicit null canonical rows rather than substituting a proxy</x:v>
      </x:c>
      <x:c r="G7" s="254" t="str"/>
      <x:c r="H7" s="254" t="str">
        <x:v>Flag financed_purchase_value_monthly_source_unavailable</x:v>
      </x:c>
      <x:c r="I7" s="254" t="str">
        <x:v>active</x:v>
      </x:c>
    </x:row>
    <x:row r="8" ht="74" customHeight="1">
      <x:c r="A8" s="282" t="str">
        <x:v>B</x:v>
      </x:c>
      <x:c r="B8" s="254" t="str">
        <x:v>version_b_redfin_purchase_value_proxy_distribution_v1</x:v>
      </x:c>
      <x:c r="C8" s="255" t="n">
        <x:v>4</x:v>
      </x:c>
      <x:c r="D8" s="254" t="str">
        <x:v>down-payment flow sensitivity</x:v>
      </x:c>
      <x:c r="E8" s="254" t="str">
        <x:v>Version A annual HMDA flow plus Redfin monthly median sale price and homes sold</x:v>
      </x:c>
      <x:c r="F8" s="254" t="str">
        <x:v>Annual flow times each month median-price-times-sales divided by the annual sum; last eligible month absorbs the floating residual</x:v>
      </x:c>
      <x:c r="G8" s="254" t="str">
        <x:v>Twelve monthly proxy values sum exactly to the Version A annual flow</x:v>
      </x:c>
      <x:c r="H8" s="254" t="str">
        <x:v>Preserve null for suppressed annual flow or incomplete/nonpositive proxy weights</x:v>
      </x:c>
      <x:c r="I8" s="254" t="str">
        <x:v>active</x:v>
      </x:c>
    </x:row>
    <x:row r="9" ht="74" customHeight="1">
      <x:c r="A9" s="282" t="str">
        <x:v>B</x:v>
      </x:c>
      <x:c r="B9" s="254" t="str">
        <x:v>version_b_calibrated_target_unavailable_v1</x:v>
      </x:c>
      <x:c r="C9" s="255" t="n">
        <x:v>12</x:v>
      </x:c>
      <x:c r="D9" s="254" t="str">
        <x:v>calibrated debt and equity</x:v>
      </x:c>
      <x:c r="E9" s="254" t="str">
        <x:v>Version A calibrated debt or equity anchor</x:v>
      </x:c>
      <x:c r="F9" s="254" t="str">
        <x:v>Emit explicit null rows because the universe-compatible calibration control is unavailable</x:v>
      </x:c>
      <x:c r="G9" s="254" t="str"/>
      <x:c r="H9" s="254" t="str">
        <x:v>Flag universe_compatible_calibration_control_unavailable</x:v>
      </x:c>
      <x:c r="I9" s="254" t="str">
        <x:v>active</x:v>
      </x:c>
    </x:row>
    <x:row r="10" ht="74" customHeight="1">
      <x:c r="A10" s="282" t="str">
        <x:v>B</x:v>
      </x:c>
      <x:c r="B10" s="254" t="str">
        <x:v>version_b_single_anchor_nmdb_redfin_raw_debt_v1</x:v>
      </x:c>
      <x:c r="C10" s="255" t="n">
        <x:v>1</x:v>
      </x:c>
      <x:c r="D10" s="254" t="str">
        <x:v>raw implied first-mortgage debt</x:v>
      </x:c>
      <x:c r="E10" s="254" t="str">
        <x:v>Version A raw debt anchor plus California NMDB all-mortgage growth and complete-set Redfin county homes-sold shares</x:v>
      </x:c>
      <x:c r="F10" s="254" t="str">
        <x:v>Scale the raw anchor by the NMDB UPB ratio and county sales-share ratio; NMDB is a growth indicator only</x:v>
      </x:c>
      <x:c r="G10" s="254" t="str">
        <x:v>Every populated series equals its matching Version A raw anchor at the anchor month</x:v>
      </x:c>
      <x:c r="H10" s="254" t="str">
        <x:v>Preserve null when the anchor NMDB value or complete county sales-share indicator is unavailable</x:v>
      </x:c>
      <x:c r="I10" s="254" t="str">
        <x:v>active</x:v>
      </x:c>
    </x:row>
    <x:row r="11" ht="74" customHeight="1">
      <x:c r="A11" s="282" t="str">
        <x:v>B</x:v>
      </x:c>
      <x:c r="B11" s="254" t="str">
        <x:v>version_b_single_anchor_nmdb_redfin_pmms_debt_v1</x:v>
      </x:c>
      <x:c r="C11" s="255" t="n">
        <x:v>3</x:v>
      </x:c>
      <x:c r="D11" s="254" t="str">
        <x:v>PMMS debt sensitivity</x:v>
      </x:c>
      <x:c r="E11" s="254" t="str">
        <x:v>Version A PMMS debt sensitivity plus California NMDB all-mortgage growth and complete-set Redfin county sales shares</x:v>
      </x:c>
      <x:c r="F11" s="254" t="str">
        <x:v>Anchor times the NMDB UPB ratio times the county sales-share ratio; NMDB is a growth indicator only</x:v>
      </x:c>
      <x:c r="G11" s="254" t="str">
        <x:v>Every populated scenario equals its matching Version A anchor at the anchor month</x:v>
      </x:c>
      <x:c r="H11" s="254" t="str">
        <x:v>Preserve null when the anchor NMDB value or complete county sales-share indicator is unavailable</x:v>
      </x:c>
      <x:c r="I11" s="254" t="str">
        <x:v>active</x:v>
      </x:c>
    </x:row>
    <x:row r="12" ht="74" customHeight="1">
      <x:c r="A12" s="282" t="str">
        <x:v>B</x:v>
      </x:c>
      <x:c r="B12" s="254" t="str">
        <x:v>version_b_hpi_updated_pmms_equity_v1</x:v>
      </x:c>
      <x:c r="C12" s="255" t="n">
        <x:v>6</x:v>
      </x:c>
      <x:c r="D12" s="254" t="str">
        <x:v>PMMS equity scenario</x:v>
      </x:c>
      <x:c r="E12" s="254" t="str">
        <x:v>Version A matched owner-value anchor plus Zillow county ZHVI plus matching PMMS debt sensitivity</x:v>
      </x:c>
      <x:c r="F12" s="254" t="str">
        <x:v>Update the owner-value stock by the ZHVI ratio and subtract matching scenario debt</x:v>
      </x:c>
      <x:c r="G12" s="254" t="str">
        <x:v>Debt plus scenario equity equals the matched modeled owner-value stock</x:v>
      </x:c>
      <x:c r="H12" s="254" t="str">
        <x:v>Preserve null when the value anchor HPI or matching debt is unavailable</x:v>
      </x:c>
      <x:c r="I12" s="254" t="str">
        <x:v>active</x:v>
      </x:c>
    </x:row>
    <x:row r="13" ht="74" customHeight="1">
      <x:c r="A13" s="283" t="str">
        <x:v>C</x:v>
      </x:c>
      <x:c r="B13" s="254" t="str">
        <x:v>version_c_latest_payment_carry_v1</x:v>
      </x:c>
      <x:c r="C13" s="255" t="n">
        <x:v>4</x:v>
      </x:c>
      <x:c r="D13" s="254" t="str">
        <x:v>mortgage payment and debt-service controls</x:v>
      </x:c>
      <x:c r="E13" s="254" t="str">
        <x:v>latest eligible Version A ACS/PUMS payment and debt-service benchmarks</x:v>
      </x:c>
      <x:c r="F13" s="254" t="str">
        <x:v>Carry each latest eligible structural level and its bounds to every target month without interpolation</x:v>
      </x:c>
      <x:c r="G13" s="254" t="str">
        <x:v>Rebenchmark only when a newly eligible anchor appears</x:v>
      </x:c>
      <x:c r="H13" s="254" t="str">
        <x:v>Emit null before the anchor source period and preserve anchor null bounds sample and coverage</x:v>
      </x:c>
      <x:c r="I13" s="254" t="str">
        <x:v>active</x:v>
      </x:c>
    </x:row>
    <x:row r="14" ht="74" customHeight="1">
      <x:c r="A14" s="283" t="str">
        <x:v>C</x:v>
      </x:c>
      <x:c r="B14" s="254" t="str">
        <x:v>version_c_latest_hmda_rate_carry_v1</x:v>
      </x:c>
      <x:c r="C14" s="255" t="n">
        <x:v>24</x:v>
      </x:c>
      <x:c r="D14" s="254" t="str">
        <x:v>down-payment rates and threshold shares</x:v>
      </x:c>
      <x:c r="E14" s="254" t="str">
        <x:v>latest eligible Version A annual HMDA rates and below-threshold shares</x:v>
      </x:c>
      <x:c r="F14" s="254" t="str">
        <x:v>Repeat the latest eligible annual county rate or share as a monthly level without division or interpolation</x:v>
      </x:c>
      <x:c r="G14" s="254" t="str">
        <x:v>Every carried central value and bound equals its eligible Version A annual counterpart</x:v>
      </x:c>
      <x:c r="H14" s="254" t="str">
        <x:v>Preserve suppressed or low-sample nulls plus sample N and coverage</x:v>
      </x:c>
      <x:c r="I14" s="254" t="str">
        <x:v>active</x:v>
      </x:c>
    </x:row>
    <x:row r="15" ht="74" customHeight="1">
      <x:c r="A15" s="283" t="str">
        <x:v>C</x:v>
      </x:c>
      <x:c r="B15" s="254" t="str">
        <x:v>version_c_hmda_flow_unavailable_v1</x:v>
      </x:c>
      <x:c r="C15" s="255" t="n">
        <x:v>4</x:v>
      </x:c>
      <x:c r="D15" s="254" t="str">
        <x:v>canonical down-payment flow</x:v>
      </x:c>
      <x:c r="E15" s="254" t="str">
        <x:v>canonical flow contract with no exact monthly financed purchase-dollar volume</x:v>
      </x:c>
      <x:c r="F15" s="254" t="str">
        <x:v>Emit explicit null canonical rows rather than allocating an annual flow or substituting a proxy</x:v>
      </x:c>
      <x:c r="G15" s="254" t="str">
        <x:v>The Version A annual HMDA flow is a benchmark mapping only and does not populate canonical monthly values</x:v>
      </x:c>
      <x:c r="H15" s="254" t="str">
        <x:v>Flag financed_purchase_value_monthly_source_unavailable</x:v>
      </x:c>
      <x:c r="I15" s="254" t="str">
        <x:v>active</x:v>
      </x:c>
    </x:row>
    <x:row r="16" ht="74" customHeight="1">
      <x:c r="A16" s="283" t="str">
        <x:v>C</x:v>
      </x:c>
      <x:c r="B16" s="254" t="str">
        <x:v>version_c_redfin_purchase_value_proxy_nowcast_v1</x:v>
      </x:c>
      <x:c r="C16" s="255" t="n">
        <x:v>4</x:v>
      </x:c>
      <x:c r="D16" s="254" t="str">
        <x:v>down-payment flow proxy</x:v>
      </x:c>
      <x:c r="E16" s="254" t="str">
        <x:v>latest eligible Version A annual HMDA flow plus eligible Redfin homes-sold and median-price snapshot</x:v>
      </x:c>
      <x:c r="F16" s="254" t="str">
        <x:v>Scale complete same-year Redfin sales-value proxy weights to annual central low and high HMDA flow values and assign the floating residual to the last finalized month</x:v>
      </x:c>
      <x:c r="G16" s="254" t="str">
        <x:v>Each finalized twelve-month central low and high proxy sum equals its eligible annual counterpart exactly</x:v>
      </x:c>
      <x:c r="H16" s="254" t="str">
        <x:v>Preserve null when annual proxy weights are incomplete or the target month proxy is unavailable</x:v>
      </x:c>
      <x:c r="I16" s="254" t="str">
        <x:v>active</x:v>
      </x:c>
    </x:row>
    <x:row r="17" ht="74" customHeight="1">
      <x:c r="A17" s="283" t="str">
        <x:v>C</x:v>
      </x:c>
      <x:c r="B17" s="254" t="str">
        <x:v>version_c_calibrated_target_unavailable_v1</x:v>
      </x:c>
      <x:c r="C17" s="255" t="n">
        <x:v>12</x:v>
      </x:c>
      <x:c r="D17" s="254" t="str">
        <x:v>canonical calibrated debt normalized debt equity and leverage targets</x:v>
      </x:c>
      <x:c r="E17" s="254" t="str">
        <x:v>canonical target contract with no universe-compatible calibrated debt anchor</x:v>
      </x:c>
      <x:c r="F17" s="254" t="str">
        <x:v>Emit explicit null canonical debt normalized equity real-dollar LTV and equity-rate rows rather than substituting a PMMS sensitivity</x:v>
      </x:c>
      <x:c r="G17" s="254" t="str"/>
      <x:c r="H17" s="254" t="str">
        <x:v>Flag calibrated_debt_anchor_unavailable and mark unavailable rows as not nowcasts</x:v>
      </x:c>
      <x:c r="I17" s="254" t="str">
        <x:v>active</x:v>
      </x:c>
    </x:row>
    <x:row r="18" ht="74" customHeight="1">
      <x:c r="A18" s="283" t="str">
        <x:v>C</x:v>
      </x:c>
      <x:c r="B18" s="254" t="str">
        <x:v>version_c_stepwise_pmms_rate_debt_sensitivity_v1</x:v>
      </x:c>
      <x:c r="C18" s="255" t="n">
        <x:v>3</x:v>
      </x:c>
      <x:c r="D18" s="254" t="str">
        <x:v>PMMS fixed-term debt sensitivities</x:v>
      </x:c>
      <x:c r="E18" s="254" t="str">
        <x:v>carried aggregate P&amp;I and bounds plus latest eligible Freddie Mac PMMS rate</x:v>
      </x:c>
      <x:c r="F18" s="254" t="str">
        <x:v>Capitalize central low and high payment values with matching fixed 20-year 25-year or 30-year annuity factors at the last PMMS observation available by the cutoff and target month</x:v>
      </x:c>
      <x:c r="G18" s="254" t="str">
        <x:v>PMMS outputs remain separately labeled sensitivities and never populate canonical calibrated debt</x:v>
      </x:c>
      <x:c r="H18" s="254" t="str">
        <x:v>Preserve null when payment or an eligible PMMS rate is unavailable</x:v>
      </x:c>
      <x:c r="I18" s="254" t="str">
        <x:v>active</x:v>
      </x:c>
    </x:row>
    <x:row r="19" ht="74" customHeight="1">
      <x:c r="A19" s="283" t="str">
        <x:v>C</x:v>
      </x:c>
      <x:c r="B19" s="254" t="str">
        <x:v>version_c_composite_pmms_raw_debt_nowcast_sensitivity_v1</x:v>
      </x:c>
      <x:c r="C19" s="255" t="n">
        <x:v>1</x:v>
      </x:c>
      <x:c r="D19" s="254" t="str">
        <x:v>benchmarked composite raw PMMS debt sensitivity</x:v>
      </x:c>
      <x:c r="E19" s="254" t="str">
        <x:v>latest eligible Version A raw-debt level anchor plus payment central low and high plus latest eligible Freddie Mac PMMS rate</x:v>
      </x:c>
      <x:c r="F19" s="254" t="str">
        <x:v>Build the 25-year central 20-year low and 30-year high envelopes at the anchor reference month and scale each path separately through the cutoff vintage</x:v>
      </x:c>
      <x:c r="G19" s="254" t="str">
        <x:v>Central low and high equal the eligible Version A raw-debt value and bounds exactly at the reference month while remaining outside canonical calibrated debt</x:v>
      </x:c>
      <x:c r="H19" s="254" t="str">
        <x:v>Emit explicit null rather than an unbenchmarked level when the raw anchor reference envelope payment bound or eligible PMMS rate is unavailable</x:v>
      </x:c>
      <x:c r="I19" s="254" t="str">
        <x:v>active</x:v>
      </x:c>
    </x:row>
    <x:row r="20" ht="74" customHeight="1">
      <x:c r="A20" s="283" t="str">
        <x:v>C</x:v>
      </x:c>
      <x:c r="B20" s="254" t="str">
        <x:v>version_c_hpi_updated_pmms_equity_v1</x:v>
      </x:c>
      <x:c r="C20" s="255" t="n">
        <x:v>6</x:v>
      </x:c>
      <x:c r="D20" s="254" t="str">
        <x:v>PMMS equity scenarios</x:v>
      </x:c>
      <x:c r="E20" s="254" t="str">
        <x:v>eligible matched owner-value anchor and bounds plus eligible county HPI snapshot plus matching PMMS debt sensitivity</x:v>
      </x:c>
      <x:c r="F20" s="254" t="str">
        <x:v>Update matched owner-value central low and high by a cutoff-safe HPI ratio then subtract debt central debt-high for low and debt-low for high</x:v>
      </x:c>
      <x:c r="G20" s="254" t="str">
        <x:v>Debt plus central scenario equity equals the matched central HPI-updated owner-value stock</x:v>
      </x:c>
      <x:c r="H20" s="254" t="str">
        <x:v>Preserve null before eligible inputs or where county HPI or required bounds are missing</x:v>
      </x:c>
      <x:c r="I20" s="254" t="str">
        <x:v>active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8dbaf5bbf3845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8" hidden="0" customWidth="1"/>
    <x:col min="3" max="3" width="64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Sources, Exact Suffixes, and Interpretation Notes</x:v>
      </x:c>
      <x:c r="B1" s="4" t="str">
        <x:v>Sources, Exact Suffixes, and Interpretation Notes</x:v>
      </x:c>
      <x:c r="C1" s="4" t="str">
        <x:v>Sources, Exact Suffixes, and Interpretation Notes</x:v>
      </x:c>
      <x:c r="D1" s="4" t="str">
        <x:v>Sources, Exact Suffixes, and Interpretation Notes</x:v>
      </x:c>
      <x:c r="E1" s="4" t="str">
        <x:v>Sources, Exact Suffixes, and Interpretation Notes</x:v>
      </x:c>
      <x:c r="F1" s="4" t="str">
        <x:v>Sources, Exact Suffixes, and Interpretation Notes</x:v>
      </x:c>
      <x:c r="G1" s="4" t="str">
        <x:v>Sources, Exact Suffixes, and Interpretation Notes</x:v>
      </x:c>
      <x:c r="H1" s="4" t="str">
        <x:v>Sources, Exact Suffixes, and Interpretation Notes</x:v>
      </x:c>
    </x:row>
    <x:row r="2" ht="34" customHeight="1">
      <x:c r="A2" s="8" t="str">
        <x:v>The original methodology is the authority for version purpose and suffixes; configs, catalogs, and Parquet outputs are the authority for the implemented comparison.</x:v>
      </x:c>
      <x:c r="B2" s="8" t="str">
        <x:v>The original methodology is the authority for version purpose and suffixes; configs, catalogs, and Parquet outputs are the authority for the implemented comparison.</x:v>
      </x:c>
      <x:c r="C2" s="8" t="str">
        <x:v>The original methodology is the authority for version purpose and suffixes; configs, catalogs, and Parquet outputs are the authority for the implemented comparison.</x:v>
      </x:c>
      <x:c r="D2" s="8" t="str">
        <x:v>The original methodology is the authority for version purpose and suffixes; configs, catalogs, and Parquet outputs are the authority for the implemented comparison.</x:v>
      </x:c>
      <x:c r="E2" s="8" t="str">
        <x:v>The original methodology is the authority for version purpose and suffixes; configs, catalogs, and Parquet outputs are the authority for the implemented comparison.</x:v>
      </x:c>
      <x:c r="F2" s="8" t="str">
        <x:v>The original methodology is the authority for version purpose and suffixes; configs, catalogs, and Parquet outputs are the authority for the implemented comparison.</x:v>
      </x:c>
      <x:c r="G2" s="8" t="str">
        <x:v>The original methodology is the authority for version purpose and suffixes; configs, catalogs, and Parquet outputs are the authority for the implemented comparison.</x:v>
      </x:c>
      <x:c r="H2" s="8" t="str">
        <x:v>The original methodology is the authority for version purpose and suffixes; configs, catalogs, and Parquet outputs are the authority for the implemented comparison.</x:v>
      </x:c>
    </x:row>
    <x:row r="4" ht="24" customHeight="1">
      <x:c r="A4" s="116" t="str">
        <x:v>Exact suffixes from the methodology</x:v>
      </x:c>
      <x:c r="B4" s="116" t="str">
        <x:v>Exact suffixes from the methodology</x:v>
      </x:c>
      <x:c r="C4" s="116" t="str">
        <x:v>Exact suffixes from the methodology</x:v>
      </x:c>
      <x:c r="D4" s="116" t="str">
        <x:v>Exact suffixes from the methodology</x:v>
      </x:c>
    </x:row>
    <x:row r="5">
      <x:c r="A5" s="288" t="str">
        <x:v>Version</x:v>
      </x:c>
      <x:c r="B5" s="288" t="str">
        <x:v>Purpose</x:v>
      </x:c>
      <x:c r="C5" s="288" t="str">
        <x:v>Exact required suffix</x:v>
      </x:c>
      <x:c r="D5" s="288" t="str">
        <x:v>Verified current IDs</x:v>
      </x:c>
    </x:row>
    <x:row r="6">
      <x:c r="A6" s="289" t="str">
        <x:v>A</x:v>
      </x:c>
      <x:c r="B6" s="290" t="str">
        <x:v>Benchmark</x:v>
      </x:c>
      <x:c r="C6" s="290" t="str">
        <x:v>_benchmark</x:v>
      </x:c>
      <x:c r="D6" s="291" t="str">
        <x:v>67 of 67</x:v>
      </x:c>
    </x:row>
    <x:row r="7">
      <x:c r="A7" s="292" t="str">
        <x:v>B</x:v>
      </x:c>
      <x:c r="B7" s="293" t="str">
        <x:v>Retrospective monthly</x:v>
      </x:c>
      <x:c r="C7" s="293" t="str">
        <x:v>_monthly_hist</x:v>
      </x:c>
      <x:c r="D7" s="294" t="str">
        <x:v>58 of 58</x:v>
      </x:c>
    </x:row>
    <x:row r="8">
      <x:c r="A8" s="295" t="str">
        <x:v>C</x:v>
      </x:c>
      <x:c r="B8" s="296" t="str">
        <x:v>Real-time monthly vintage</x:v>
      </x:c>
      <x:c r="C8" s="296" t="str">
        <x:v>_monthly_rt</x:v>
      </x:c>
      <x:c r="D8" s="297" t="str">
        <x:v>58 of 58</x:v>
      </x:c>
    </x:row>
    <x:row r="10" ht="24" customHeight="1">
      <x:c r="A10" s="160" t="str">
        <x:v>Important interpretation and review notes</x:v>
      </x:c>
      <x:c r="B10" s="160" t="str">
        <x:v>Important interpretation and review notes</x:v>
      </x:c>
      <x:c r="C10" s="160" t="str">
        <x:v>Important interpretation and review notes</x:v>
      </x:c>
      <x:c r="D10" s="160" t="str">
        <x:v>Important interpretation and review notes</x:v>
      </x:c>
      <x:c r="E10" s="160" t="str">
        <x:v>Important interpretation and review notes</x:v>
      </x:c>
      <x:c r="F10" s="160" t="str">
        <x:v>Important interpretation and review notes</x:v>
      </x:c>
      <x:c r="G10" s="160" t="str">
        <x:v>Important interpretation and review notes</x:v>
      </x:c>
      <x:c r="H10" s="160" t="str">
        <x:v>Important interpretation and review notes</x:v>
      </x:c>
    </x:row>
    <x:row r="11" ht="34" customHeight="1">
      <x:c r="A11" s="169" t="str">
        <x:v>The complete crosswalk has 71 conceptual rows, not 58: 54 direct A/B/C concepts + 4 B/C-only Redfin proxy concepts + 13 A-only support/audit concepts.</x:v>
      </x:c>
      <x:c r="B11" s="170" t="str">
        <x:v>The complete crosswalk has 71 conceptual rows, not 58: 54 direct A/B/C concepts + 4 B/C-only Redfin proxy concepts + 13 A-only support/audit concepts.</x:v>
      </x:c>
      <x:c r="C11" s="170" t="str">
        <x:v>The complete crosswalk has 71 conceptual rows, not 58: 54 direct A/B/C concepts + 4 B/C-only Redfin proxy concepts + 13 A-only support/audit concepts.</x:v>
      </x:c>
      <x:c r="D11" s="170" t="str">
        <x:v>The complete crosswalk has 71 conceptual rows, not 58: 54 direct A/B/C concepts + 4 B/C-only Redfin proxy concepts + 13 A-only support/audit concepts.</x:v>
      </x:c>
      <x:c r="E11" s="170" t="str">
        <x:v>The complete crosswalk has 71 conceptual rows, not 58: 54 direct A/B/C concepts + 4 B/C-only Redfin proxy concepts + 13 A-only support/audit concepts.</x:v>
      </x:c>
      <x:c r="F11" s="170" t="str">
        <x:v>The complete crosswalk has 71 conceptual rows, not 58: 54 direct A/B/C concepts + 4 B/C-only Redfin proxy concepts + 13 A-only support/audit concepts.</x:v>
      </x:c>
      <x:c r="G11" s="170" t="str">
        <x:v>The complete crosswalk has 71 conceptual rows, not 58: 54 direct A/B/C concepts + 4 B/C-only Redfin proxy concepts + 13 A-only support/audit concepts.</x:v>
      </x:c>
      <x:c r="H11" s="171" t="str">
        <x:v>The complete crosswalk has 71 conceptual rows, not 58: 54 direct A/B/C concepts + 4 B/C-only Redfin proxy concepts + 13 A-only support/audit concepts.</x:v>
      </x:c>
    </x:row>
    <x:row r="12" ht="34" customHeight="1">
      <x:c r="A12" s="179" t="str">
        <x:v>B and C have the same 58 base concepts. Their suffixes, transformation IDs, information rules, and actual output records remain distinct.</x:v>
      </x:c>
      <x:c r="B12" s="180" t="str">
        <x:v>B and C have the same 58 base concepts. Their suffixes, transformation IDs, information rules, and actual output records remain distinct.</x:v>
      </x:c>
      <x:c r="C12" s="180" t="str">
        <x:v>B and C have the same 58 base concepts. Their suffixes, transformation IDs, information rules, and actual output records remain distinct.</x:v>
      </x:c>
      <x:c r="D12" s="180" t="str">
        <x:v>B and C have the same 58 base concepts. Their suffixes, transformation IDs, information rules, and actual output records remain distinct.</x:v>
      </x:c>
      <x:c r="E12" s="180" t="str">
        <x:v>B and C have the same 58 base concepts. Their suffixes, transformation IDs, information rules, and actual output records remain distinct.</x:v>
      </x:c>
      <x:c r="F12" s="180" t="str">
        <x:v>B and C have the same 58 base concepts. Their suffixes, transformation IDs, information rules, and actual output records remain distinct.</x:v>
      </x:c>
      <x:c r="G12" s="180" t="str">
        <x:v>B and C have the same 58 base concepts. Their suffixes, transformation IDs, information rules, and actual output records remain distinct.</x:v>
      </x:c>
      <x:c r="H12" s="181" t="str">
        <x:v>B and C have the same 58 base concepts. Their suffixes, transformation IDs, information rules, and actual output records remain distinct.</x:v>
      </x:c>
    </x:row>
    <x:row r="13" ht="34" customHeight="1">
      <x:c r="A13" s="169" t="str">
        <x:v>Fourteen concepts have substantively different B/C monthly construction rules. Ten debt/equity concepts produce material differences in currently overlapping values; four Redfin proxies match the finalized-year allocation but C extends later eligible months as proxy nowcasts.</x:v>
      </x:c>
      <x:c r="B13" s="170" t="str">
        <x:v>Fourteen concepts have substantively different B/C monthly construction rules. Ten debt/equity concepts produce material differences in currently overlapping values; four Redfin proxies match the finalized-year allocation but C extends later eligible months as proxy nowcasts.</x:v>
      </x:c>
      <x:c r="C13" s="170" t="str">
        <x:v>Fourteen concepts have substantively different B/C monthly construction rules. Ten debt/equity concepts produce material differences in currently overlapping values; four Redfin proxies match the finalized-year allocation but C extends later eligible months as proxy nowcasts.</x:v>
      </x:c>
      <x:c r="D13" s="170" t="str">
        <x:v>Fourteen concepts have substantively different B/C monthly construction rules. Ten debt/equity concepts produce material differences in currently overlapping values; four Redfin proxies match the finalized-year allocation but C extends later eligible months as proxy nowcasts.</x:v>
      </x:c>
      <x:c r="E13" s="170" t="str">
        <x:v>Fourteen concepts have substantively different B/C monthly construction rules. Ten debt/equity concepts produce material differences in currently overlapping values; four Redfin proxies match the finalized-year allocation but C extends later eligible months as proxy nowcasts.</x:v>
      </x:c>
      <x:c r="F13" s="170" t="str">
        <x:v>Fourteen concepts have substantively different B/C monthly construction rules. Ten debt/equity concepts produce material differences in currently overlapping values; four Redfin proxies match the finalized-year allocation but C extends later eligible months as proxy nowcasts.</x:v>
      </x:c>
      <x:c r="G13" s="170" t="str">
        <x:v>Fourteen concepts have substantively different B/C monthly construction rules. Ten debt/equity concepts produce material differences in currently overlapping values; four Redfin proxies match the finalized-year allocation but C extends later eligible months as proxy nowcasts.</x:v>
      </x:c>
      <x:c r="H13" s="171" t="str">
        <x:v>Fourteen concepts have substantively different B/C monthly construction rules. Ten debt/equity concepts produce material differences in currently overlapping values; four Redfin proxies match the finalized-year allocation but C extends later eligible months as proxy nowcasts.</x:v>
      </x:c>
    </x:row>
    <x:row r="14" ht="34" customHeight="1">
      <x:c r="A14" s="179" t="str">
        <x:v>Sixteen monthly canonical concepts are intentionally null: four exact monthly HMDA flows and twelve calibrated debt/equity/LTV targets. They must not be silently replaced by Redfin or PMMS scenarios.</x:v>
      </x:c>
      <x:c r="B14" s="180" t="str">
        <x:v>Sixteen monthly canonical concepts are intentionally null: four exact monthly HMDA flows and twelve calibrated debt/equity/LTV targets. They must not be silently replaced by Redfin or PMMS scenarios.</x:v>
      </x:c>
      <x:c r="C14" s="180" t="str">
        <x:v>Sixteen monthly canonical concepts are intentionally null: four exact monthly HMDA flows and twelve calibrated debt/equity/LTV targets. They must not be silently replaced by Redfin or PMMS scenarios.</x:v>
      </x:c>
      <x:c r="D14" s="180" t="str">
        <x:v>Sixteen monthly canonical concepts are intentionally null: four exact monthly HMDA flows and twelve calibrated debt/equity/LTV targets. They must not be silently replaced by Redfin or PMMS scenarios.</x:v>
      </x:c>
      <x:c r="E14" s="180" t="str">
        <x:v>Sixteen monthly canonical concepts are intentionally null: four exact monthly HMDA flows and twelve calibrated debt/equity/LTV targets. They must not be silently replaced by Redfin or PMMS scenarios.</x:v>
      </x:c>
      <x:c r="F14" s="180" t="str">
        <x:v>Sixteen monthly canonical concepts are intentionally null: four exact monthly HMDA flows and twelve calibrated debt/equity/LTV targets. They must not be silently replaced by Redfin or PMMS scenarios.</x:v>
      </x:c>
      <x:c r="G14" s="180" t="str">
        <x:v>Sixteen monthly canonical concepts are intentionally null: four exact monthly HMDA flows and twelve calibrated debt/equity/LTV targets. They must not be silently replaced by Redfin or PMMS scenarios.</x:v>
      </x:c>
      <x:c r="H14" s="181" t="str">
        <x:v>Sixteen monthly canonical concepts are intentionally null: four exact monthly HMDA flows and twelve calibrated debt/equity/LTV targets. They must not be silently replaced by Redfin or PMMS scenarios.</x:v>
      </x:c>
    </x:row>
    <x:row r="15" ht="34" customHeight="1">
      <x:c r="A15" s="169" t="str">
        <x:v>Current C has one completed cutoff, 2026-08-17. Historical source snapshots before archive inception do not exist, so C is not yet a historical pseudo-out-of-sample vintage panel.</x:v>
      </x:c>
      <x:c r="B15" s="170" t="str">
        <x:v>Current C has one completed cutoff, 2026-08-17. Historical source snapshots before archive inception do not exist, so C is not yet a historical pseudo-out-of-sample vintage panel.</x:v>
      </x:c>
      <x:c r="C15" s="170" t="str">
        <x:v>Current C has one completed cutoff, 2026-08-17. Historical source snapshots before archive inception do not exist, so C is not yet a historical pseudo-out-of-sample vintage panel.</x:v>
      </x:c>
      <x:c r="D15" s="170" t="str">
        <x:v>Current C has one completed cutoff, 2026-08-17. Historical source snapshots before archive inception do not exist, so C is not yet a historical pseudo-out-of-sample vintage panel.</x:v>
      </x:c>
      <x:c r="E15" s="170" t="str">
        <x:v>Current C has one completed cutoff, 2026-08-17. Historical source snapshots before archive inception do not exist, so C is not yet a historical pseudo-out-of-sample vintage panel.</x:v>
      </x:c>
      <x:c r="F15" s="170" t="str">
        <x:v>Current C has one completed cutoff, 2026-08-17. Historical source snapshots before archive inception do not exist, so C is not yet a historical pseudo-out-of-sample vintage panel.</x:v>
      </x:c>
      <x:c r="G15" s="170" t="str">
        <x:v>Current C has one completed cutoff, 2026-08-17. Historical source snapshots before archive inception do not exist, so C is not yet a historical pseudo-out-of-sample vintage panel.</x:v>
      </x:c>
      <x:c r="H15" s="171" t="str">
        <x:v>Current C has one completed cutoff, 2026-08-17. Historical source snapshots before archive inception do not exist, so C is not yet a historical pseudo-out-of-sample vintage panel.</x:v>
      </x:c>
    </x:row>
    <x:row r="16" ht="34" customHeight="1">
      <x:c r="A16" s="179" t="str">
        <x:v>Metadata review item: the four C Redfin proxy rows are configured as output_status=proxy and proxy=true, but also scenario=true; B marks scenario=false.</x:v>
      </x:c>
      <x:c r="B16" s="180" t="str">
        <x:v>Metadata review item: the four C Redfin proxy rows are configured as output_status=proxy and proxy=true, but also scenario=true; B marks scenario=false.</x:v>
      </x:c>
      <x:c r="C16" s="180" t="str">
        <x:v>Metadata review item: the four C Redfin proxy rows are configured as output_status=proxy and proxy=true, but also scenario=true; B marks scenario=false.</x:v>
      </x:c>
      <x:c r="D16" s="180" t="str">
        <x:v>Metadata review item: the four C Redfin proxy rows are configured as output_status=proxy and proxy=true, but also scenario=true; B marks scenario=false.</x:v>
      </x:c>
      <x:c r="E16" s="180" t="str">
        <x:v>Metadata review item: the four C Redfin proxy rows are configured as output_status=proxy and proxy=true, but also scenario=true; B marks scenario=false.</x:v>
      </x:c>
      <x:c r="F16" s="180" t="str">
        <x:v>Metadata review item: the four C Redfin proxy rows are configured as output_status=proxy and proxy=true, but also scenario=true; B marks scenario=false.</x:v>
      </x:c>
      <x:c r="G16" s="180" t="str">
        <x:v>Metadata review item: the four C Redfin proxy rows are configured as output_status=proxy and proxy=true, but also scenario=true; B marks scenario=false.</x:v>
      </x:c>
      <x:c r="H16" s="181" t="str">
        <x:v>Metadata review item: the four C Redfin proxy rows are configured as output_status=proxy and proxy=true, but also scenario=true; B marks scenario=false.</x:v>
      </x:c>
    </x:row>
    <x:row r="17" ht="34" customHeight="1">
      <x:c r="A17" s="169" t="str">
        <x:v>Metadata review item: 24 HMDA rates/shares use unit=ratio in A and the dimensionally equivalent labels rate/share in B/C.</x:v>
      </x:c>
      <x:c r="B17" s="170" t="str">
        <x:v>Metadata review item: 24 HMDA rates/shares use unit=ratio in A and the dimensionally equivalent labels rate/share in B/C.</x:v>
      </x:c>
      <x:c r="C17" s="170" t="str">
        <x:v>Metadata review item: 24 HMDA rates/shares use unit=ratio in A and the dimensionally equivalent labels rate/share in B/C.</x:v>
      </x:c>
      <x:c r="D17" s="170" t="str">
        <x:v>Metadata review item: 24 HMDA rates/shares use unit=ratio in A and the dimensionally equivalent labels rate/share in B/C.</x:v>
      </x:c>
      <x:c r="E17" s="170" t="str">
        <x:v>Metadata review item: 24 HMDA rates/shares use unit=ratio in A and the dimensionally equivalent labels rate/share in B/C.</x:v>
      </x:c>
      <x:c r="F17" s="170" t="str">
        <x:v>Metadata review item: 24 HMDA rates/shares use unit=ratio in A and the dimensionally equivalent labels rate/share in B/C.</x:v>
      </x:c>
      <x:c r="G17" s="170" t="str">
        <x:v>Metadata review item: 24 HMDA rates/shares use unit=ratio in A and the dimensionally equivalent labels rate/share in B/C.</x:v>
      </x:c>
      <x:c r="H17" s="171" t="str">
        <x:v>Metadata review item: 24 HMDA rates/shares use unit=ratio in A and the dimensionally equivalent labels rate/share in B/C.</x:v>
      </x:c>
    </x:row>
    <x:row r="18" ht="34" customHeight="1">
      <x:c r="A18" s="179" t="str">
        <x:v>B/C numerical equality uses numpy.isclose with rtol=1e-12 and atol=1e-9; exact floating-point equality is intentionally not required.</x:v>
      </x:c>
      <x:c r="B18" s="180" t="str">
        <x:v>B/C numerical equality uses numpy.isclose with rtol=1e-12 and atol=1e-9; exact floating-point equality is intentionally not required.</x:v>
      </x:c>
      <x:c r="C18" s="180" t="str">
        <x:v>B/C numerical equality uses numpy.isclose with rtol=1e-12 and atol=1e-9; exact floating-point equality is intentionally not required.</x:v>
      </x:c>
      <x:c r="D18" s="180" t="str">
        <x:v>B/C numerical equality uses numpy.isclose with rtol=1e-12 and atol=1e-9; exact floating-point equality is intentionally not required.</x:v>
      </x:c>
      <x:c r="E18" s="180" t="str">
        <x:v>B/C numerical equality uses numpy.isclose with rtol=1e-12 and atol=1e-9; exact floating-point equality is intentionally not required.</x:v>
      </x:c>
      <x:c r="F18" s="180" t="str">
        <x:v>B/C numerical equality uses numpy.isclose with rtol=1e-12 and atol=1e-9; exact floating-point equality is intentionally not required.</x:v>
      </x:c>
      <x:c r="G18" s="180" t="str">
        <x:v>B/C numerical equality uses numpy.isclose with rtol=1e-12 and atol=1e-9; exact floating-point equality is intentionally not required.</x:v>
      </x:c>
      <x:c r="H18" s="181" t="str">
        <x:v>B/C numerical equality uses numpy.isclose with rtol=1e-12 and atol=1e-9; exact floating-point equality is intentionally not required.</x:v>
      </x:c>
    </x:row>
    <x:row r="19" ht="34" customHeight="1">
      <x:c r="A19" s="169" t="str">
        <x:v>The DOCX text/table was structurally inspected. LibreOffice/soffice was unavailable for page rendering, so no page number is asserted.</x:v>
      </x:c>
      <x:c r="B19" s="170" t="str">
        <x:v>The DOCX text/table was structurally inspected. LibreOffice/soffice was unavailable for page rendering, so no page number is asserted.</x:v>
      </x:c>
      <x:c r="C19" s="170" t="str">
        <x:v>The DOCX text/table was structurally inspected. LibreOffice/soffice was unavailable for page rendering, so no page number is asserted.</x:v>
      </x:c>
      <x:c r="D19" s="170" t="str">
        <x:v>The DOCX text/table was structurally inspected. LibreOffice/soffice was unavailable for page rendering, so no page number is asserted.</x:v>
      </x:c>
      <x:c r="E19" s="170" t="str">
        <x:v>The DOCX text/table was structurally inspected. LibreOffice/soffice was unavailable for page rendering, so no page number is asserted.</x:v>
      </x:c>
      <x:c r="F19" s="170" t="str">
        <x:v>The DOCX text/table was structurally inspected. LibreOffice/soffice was unavailable for page rendering, so no page number is asserted.</x:v>
      </x:c>
      <x:c r="G19" s="170" t="str">
        <x:v>The DOCX text/table was structurally inspected. LibreOffice/soffice was unavailable for page rendering, so no page number is asserted.</x:v>
      </x:c>
      <x:c r="H19" s="171" t="str">
        <x:v>The DOCX text/table was structurally inspected. LibreOffice/soffice was unavailable for page rendering, so no page number is asserted.</x:v>
      </x:c>
    </x:row>
    <x:row r="22" ht="24" customHeight="1">
      <x:c r="A22" s="153" t="str">
        <x:v>Source inventory</x:v>
      </x:c>
      <x:c r="B22" s="153" t="str">
        <x:v>Source inventory</x:v>
      </x:c>
      <x:c r="C22" s="153" t="str">
        <x:v>Source inventory</x:v>
      </x:c>
      <x:c r="D22" s="153" t="str">
        <x:v>Source inventory</x:v>
      </x:c>
      <x:c r="E22" s="153" t="str">
        <x:v>Source inventory</x:v>
      </x:c>
      <x:c r="F22" s="153" t="str">
        <x:v>Source inventory</x:v>
      </x:c>
      <x:c r="G22" s="153" t="str">
        <x:v>Source inventory</x:v>
      </x:c>
      <x:c r="H22" s="153" t="str">
        <x:v>Source inventory</x:v>
      </x:c>
    </x:row>
    <x:row r="23">
      <x:c r="A23" s="158" t="str">
        <x:v>Source</x:v>
      </x:c>
      <x:c r="B23" s="158" t="str">
        <x:v>Path</x:v>
      </x:c>
      <x:c r="C23" s="158" t="str">
        <x:v>Role in this workbook</x:v>
      </x:c>
    </x:row>
    <x:row r="24" ht="32" customHeight="1">
      <x:c r="A24" s="273" t="str">
        <x:v>Authoritative methodology</x:v>
      </x:c>
      <x:c r="B24" s="273" t="str">
        <x:v>C:\Users\yifan\Downloads\LA_CA_Housing_Finance_Variables_Methodology.docx</x:v>
      </x:c>
      <x:c r="C24" s="273" t="str">
        <x:v>Defines A/B/C purposes, information rules, and exact suffixes.</x:v>
      </x:c>
    </x:row>
    <x:row r="25" ht="32" customHeight="1">
      <x:c r="A25" s="273" t="str">
        <x:v>Version A dictionary</x:v>
      </x:c>
      <x:c r="B25" s="273" t="str">
        <x:v>config/version_a_variables.yaml</x:v>
      </x:c>
      <x:c r="C25" s="273" t="str">
        <x:v>67 source-faithful benchmark and support IDs.</x:v>
      </x:c>
    </x:row>
    <x:row r="26" ht="32" customHeight="1">
      <x:c r="A26" s="273" t="str">
        <x:v>Version B dictionary</x:v>
      </x:c>
      <x:c r="B26" s="273" t="str">
        <x:v>config/version_b_variables.yaml</x:v>
      </x:c>
      <x:c r="C26" s="273" t="str">
        <x:v>58 retrospective monthly IDs and benchmark mappings.</x:v>
      </x:c>
    </x:row>
    <x:row r="27" ht="32" customHeight="1">
      <x:c r="A27" s="273" t="str">
        <x:v>Version C dictionary</x:v>
      </x:c>
      <x:c r="B27" s="273" t="str">
        <x:v>config/version_c_variables.yaml</x:v>
      </x:c>
      <x:c r="C27" s="273" t="str">
        <x:v>58 cutoff-vintage monthly IDs and benchmark mappings.</x:v>
      </x:c>
    </x:row>
    <x:row r="28" ht="32" customHeight="1">
      <x:c r="A28" s="273" t="str">
        <x:v>Version B transformation catalog</x:v>
      </x:c>
      <x:c r="B28" s="273" t="str">
        <x:v>metadata/version_b_transformation_catalog.csv</x:v>
      </x:c>
      <x:c r="C28" s="273" t="str">
        <x:v>Executed Version B formulas and missing-value rules.</x:v>
      </x:c>
    </x:row>
    <x:row r="29" ht="32" customHeight="1">
      <x:c r="A29" s="273" t="str">
        <x:v>Version C transformation catalog</x:v>
      </x:c>
      <x:c r="B29" s="273" t="str">
        <x:v>metadata/version_c_transformation_catalog.csv</x:v>
      </x:c>
      <x:c r="C29" s="273" t="str">
        <x:v>Executed Version C formulas, cutoff rules, and missing-value rules.</x:v>
      </x:c>
    </x:row>
    <x:row r="30" ht="32" customHeight="1">
      <x:c r="A30" s="273" t="str">
        <x:v>Version A materialized output</x:v>
      </x:c>
      <x:c r="B30" s="273" t="str">
        <x:v>data/final/housing_finance_benchmark.parquet</x:v>
      </x:c>
      <x:c r="C30" s="273" t="str">
        <x:v>Actual Version A row/value/coverage statistics.</x:v>
      </x:c>
    </x:row>
    <x:row r="31" ht="32" customHeight="1">
      <x:c r="A31" s="273" t="str">
        <x:v>Version B materialized output</x:v>
      </x:c>
      <x:c r="B31" s="273" t="str">
        <x:v>data/final/housing_finance_monthly_hist.parquet</x:v>
      </x:c>
      <x:c r="C31" s="273" t="str">
        <x:v>Actual Version B row/value/coverage and flag statistics.</x:v>
      </x:c>
    </x:row>
    <x:row r="32" ht="32" customHeight="1">
      <x:c r="A32" s="273" t="str">
        <x:v>Version C materialized output</x:v>
      </x:c>
      <x:c r="B32" s="273" t="str">
        <x:v>data/final/housing_finance_monthly_rt/information_cutoff_date=2026-08-17/part.parquet</x:v>
      </x:c>
      <x:c r="C32" s="273" t="str">
        <x:v>Actual cutoff-2026-08-17 Version C statistics.</x:v>
      </x:c>
    </x:row>
  </x:sheetData>
  <x:mergeCells>
    <x:mergeCell ref="A1:H1"/>
    <x:mergeCell ref="A2:H2"/>
    <x:mergeCell ref="A4:D4"/>
    <x:mergeCell ref="A10:H10"/>
    <x:mergeCell ref="A11:H11"/>
    <x:mergeCell ref="A12:H12"/>
    <x:mergeCell ref="A13:H13"/>
    <x:mergeCell ref="A14:H14"/>
    <x:mergeCell ref="A15:H15"/>
    <x:mergeCell ref="A16:H16"/>
    <x:mergeCell ref="A17:H17"/>
    <x:mergeCell ref="A18:H18"/>
    <x:mergeCell ref="A19:H19"/>
    <x:mergeCell ref="A22:H22"/>
  </x:mergeCells>
  <x:pageMargins left="0.7" right="0.7" top="0.75" bottom="0.75" header="0.3" footer="0.3"/>
  <x:tableParts count="1">
    <x:tablePart xmlns:r="http://schemas.openxmlformats.org/officeDocument/2006/relationships" r:id="R8f02d82ea48d43df"/>
  </x:tableParts>
</x:worksheet>
</file>